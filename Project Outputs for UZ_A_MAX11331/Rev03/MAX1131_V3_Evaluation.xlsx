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30_ZohmControl_GmbH\Repo\Max11_V3_Hardware\"/>
    </mc:Choice>
  </mc:AlternateContent>
  <xr:revisionPtr revIDLastSave="0" documentId="13_ncr:1_{E27E821C-9EF2-4142-915A-FA2F00551D25}" xr6:coauthVersionLast="36" xr6:coauthVersionMax="36" xr10:uidLastSave="{00000000-0000-0000-0000-000000000000}"/>
  <bookViews>
    <workbookView xWindow="0" yWindow="0" windowWidth="22980" windowHeight="8460" xr2:uid="{77B5A9B9-AFC1-425D-B755-FFE33D945C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L24" i="1"/>
  <c r="L19" i="1"/>
  <c r="K20" i="1"/>
  <c r="L22" i="1"/>
  <c r="L21" i="1"/>
  <c r="L20" i="1"/>
  <c r="L18" i="1"/>
  <c r="L17" i="1"/>
  <c r="L16" i="1"/>
  <c r="K22" i="1"/>
  <c r="K21" i="1"/>
  <c r="K19" i="1"/>
  <c r="K18" i="1"/>
  <c r="K17" i="1"/>
  <c r="K16" i="1"/>
  <c r="C24" i="1"/>
  <c r="H24" i="1" s="1"/>
  <c r="F2" i="1"/>
  <c r="I24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5" i="1"/>
  <c r="G25" i="1" s="1"/>
  <c r="J25" i="1" s="1"/>
  <c r="G12" i="1" l="1"/>
  <c r="J12" i="1" s="1"/>
  <c r="I12" i="1"/>
  <c r="L12" i="1" s="1"/>
  <c r="H12" i="1"/>
  <c r="K12" i="1" s="1"/>
  <c r="G11" i="1"/>
  <c r="J11" i="1" s="1"/>
  <c r="I11" i="1"/>
  <c r="L11" i="1" s="1"/>
  <c r="H11" i="1"/>
  <c r="K11" i="1" s="1"/>
  <c r="G10" i="1"/>
  <c r="J10" i="1" s="1"/>
  <c r="H10" i="1"/>
  <c r="K10" i="1" s="1"/>
  <c r="I10" i="1"/>
  <c r="L10" i="1" s="1"/>
  <c r="G9" i="1"/>
  <c r="J9" i="1" s="1"/>
  <c r="I9" i="1"/>
  <c r="L9" i="1" s="1"/>
  <c r="H9" i="1"/>
  <c r="K9" i="1" s="1"/>
  <c r="G16" i="1"/>
  <c r="J16" i="1" s="1"/>
  <c r="H16" i="1"/>
  <c r="I16" i="1"/>
  <c r="G8" i="1"/>
  <c r="J8" i="1" s="1"/>
  <c r="H8" i="1"/>
  <c r="K8" i="1" s="1"/>
  <c r="I8" i="1"/>
  <c r="L8" i="1" s="1"/>
  <c r="G13" i="1"/>
  <c r="J13" i="1" s="1"/>
  <c r="I13" i="1"/>
  <c r="L13" i="1" s="1"/>
  <c r="H13" i="1"/>
  <c r="K13" i="1" s="1"/>
  <c r="G19" i="1"/>
  <c r="J19" i="1" s="1"/>
  <c r="I19" i="1"/>
  <c r="H19" i="1"/>
  <c r="G18" i="1"/>
  <c r="J18" i="1" s="1"/>
  <c r="H18" i="1"/>
  <c r="I18" i="1"/>
  <c r="G17" i="1"/>
  <c r="J17" i="1" s="1"/>
  <c r="I17" i="1"/>
  <c r="H17" i="1"/>
  <c r="G23" i="1"/>
  <c r="J23" i="1" s="1"/>
  <c r="G15" i="1"/>
  <c r="J15" i="1" s="1"/>
  <c r="H15" i="1"/>
  <c r="K15" i="1" s="1"/>
  <c r="I15" i="1"/>
  <c r="L15" i="1" s="1"/>
  <c r="G7" i="1"/>
  <c r="J7" i="1" s="1"/>
  <c r="H7" i="1"/>
  <c r="K7" i="1" s="1"/>
  <c r="I7" i="1"/>
  <c r="L7" i="1" s="1"/>
  <c r="G21" i="1"/>
  <c r="J21" i="1" s="1"/>
  <c r="H21" i="1"/>
  <c r="I21" i="1"/>
  <c r="G20" i="1"/>
  <c r="J20" i="1" s="1"/>
  <c r="I20" i="1"/>
  <c r="H20" i="1"/>
  <c r="G22" i="1"/>
  <c r="J22" i="1" s="1"/>
  <c r="I22" i="1"/>
  <c r="H22" i="1"/>
  <c r="G14" i="1"/>
  <c r="J14" i="1" s="1"/>
  <c r="H14" i="1"/>
  <c r="K14" i="1" s="1"/>
  <c r="I14" i="1"/>
  <c r="L14" i="1" s="1"/>
</calcChain>
</file>

<file path=xl/sharedStrings.xml><?xml version="1.0" encoding="utf-8"?>
<sst xmlns="http://schemas.openxmlformats.org/spreadsheetml/2006/main" count="20" uniqueCount="18">
  <si>
    <t>ADC01</t>
  </si>
  <si>
    <t>ADC09</t>
  </si>
  <si>
    <t>ADC17</t>
  </si>
  <si>
    <t>Extern Delta</t>
  </si>
  <si>
    <t>Extern _N</t>
  </si>
  <si>
    <t>Extern _P</t>
  </si>
  <si>
    <t>Fehler von ADC01</t>
  </si>
  <si>
    <t>Fehler von ADC17</t>
  </si>
  <si>
    <t>Fehler von ADC09</t>
  </si>
  <si>
    <t>MAX11 V3 ADC Evaluation (Alle Messungen in [V])</t>
  </si>
  <si>
    <t>[V]</t>
  </si>
  <si>
    <t>[A]</t>
  </si>
  <si>
    <t>ConversionFactor ADC auf Basis von OpAMp Schaltung im Analog-FrondEnd:</t>
  </si>
  <si>
    <t>Nutzbarer Spannungsbereich (alles was größer ist im Betrag, wird nicht mehr gemessen)</t>
  </si>
  <si>
    <t>-4,957V…+4,957V</t>
  </si>
  <si>
    <t>ADC01:Wenn 5V=600A wären</t>
  </si>
  <si>
    <t>ADC09:Wenn 5V=600A wären</t>
  </si>
  <si>
    <t>ADC17:Wenn 5V=600A wären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</si>
</sst>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/>
    <xf numFmtId="0" fontId="1" fillId="4" borderId="2" xfId="0" applyFont="1" applyFill="1" applyBorder="1"/>
    <xf numFmtId="0" fontId="1" fillId="3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4" borderId="4" xfId="0" applyFont="1" applyFill="1" applyBorder="1"/>
    <xf numFmtId="0" fontId="1" fillId="4" borderId="5" xfId="0" applyFont="1" applyFill="1" applyBorder="1"/>
    <xf numFmtId="0" fontId="1" fillId="3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quotePrefix="1" applyFont="1" applyFill="1"/>
    <xf numFmtId="2" fontId="0" fillId="5" borderId="3" xfId="0" applyNumberForma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Linearitätsverlauf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2.1105047253264689E-2"/>
          <c:y val="9.7448344291319669E-2"/>
          <c:w val="0.86137526497901706"/>
          <c:h val="0.79501506186546811"/>
        </c:manualLayout>
      </c:layout>
      <c:scatterChart>
        <c:scatterStyle val="smoothMarker"/>
        <c:varyColors val="0"/>
        <c:ser>
          <c:idx val="0"/>
          <c:order val="0"/>
          <c:tx>
            <c:v>ADC01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8985129458066743E-2"/>
                  <c:y val="-4.045780522877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A2A-4116-89C2-1CFA10DD7A0B}"/>
                </c:ext>
              </c:extLst>
            </c:dLbl>
            <c:dLbl>
              <c:idx val="1"/>
              <c:layout>
                <c:manualLayout>
                  <c:x val="-1.0545166626496648E-2"/>
                  <c:y val="9.2323255453981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A2A-4116-89C2-1CFA10DD7A0B}"/>
                </c:ext>
              </c:extLst>
            </c:dLbl>
            <c:dLbl>
              <c:idx val="3"/>
              <c:layout>
                <c:manualLayout>
                  <c:x val="3.620680363875943E-2"/>
                  <c:y val="-1.77878680390351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A2A-4116-89C2-1CFA10DD7A0B}"/>
                </c:ext>
              </c:extLst>
            </c:dLbl>
            <c:dLbl>
              <c:idx val="7"/>
              <c:layout>
                <c:manualLayout>
                  <c:x val="7.6361551433251594E-3"/>
                  <c:y val="5.9937630897211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A2A-4116-89C2-1CFA10DD7A0B}"/>
                </c:ext>
              </c:extLst>
            </c:dLbl>
            <c:dLbl>
              <c:idx val="8"/>
              <c:layout>
                <c:manualLayout>
                  <c:x val="-4.950514184754333E-2"/>
                  <c:y val="6.64147558085657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A2A-4116-89C2-1CFA10DD7A0B}"/>
                </c:ext>
              </c:extLst>
            </c:dLbl>
            <c:dLbl>
              <c:idx val="9"/>
              <c:layout>
                <c:manualLayout>
                  <c:x val="-1.2652277517323129E-2"/>
                  <c:y val="-5.3412055051481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A2A-4116-89C2-1CFA10DD7A0B}"/>
                </c:ext>
              </c:extLst>
            </c:dLbl>
            <c:dLbl>
              <c:idx val="13"/>
              <c:layout>
                <c:manualLayout>
                  <c:x val="-7.3689572030296344E-2"/>
                  <c:y val="-2.4264992950389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A2A-4116-89C2-1CFA10DD7A0B}"/>
                </c:ext>
              </c:extLst>
            </c:dLbl>
            <c:dLbl>
              <c:idx val="14"/>
              <c:layout>
                <c:manualLayout>
                  <c:x val="-2.4340270083637146E-2"/>
                  <c:y val="-8.90362420639282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A2A-4116-89C2-1CFA10DD7A0B}"/>
                </c:ext>
              </c:extLst>
            </c:dLbl>
            <c:dLbl>
              <c:idx val="15"/>
              <c:layout>
                <c:manualLayout>
                  <c:x val="-2.4340270083637146E-2"/>
                  <c:y val="-6.312774241851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A2A-4116-89C2-1CFA10DD7A0B}"/>
                </c:ext>
              </c:extLst>
            </c:dLbl>
            <c:dLbl>
              <c:idx val="16"/>
              <c:layout>
                <c:manualLayout>
                  <c:x val="3.343808896924483E-4"/>
                  <c:y val="2.75520063404422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A2A-4116-89C2-1CFA10DD7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Tabelle1!$C$7:$C$25</c:f>
              <c:numCache>
                <c:formatCode>General</c:formatCode>
                <c:ptCount val="19"/>
                <c:pt idx="0">
                  <c:v>-4.9550000000000001</c:v>
                </c:pt>
                <c:pt idx="1">
                  <c:v>-4.7549999999999999</c:v>
                </c:pt>
                <c:pt idx="2">
                  <c:v>-4.4550000000000001</c:v>
                </c:pt>
                <c:pt idx="3">
                  <c:v>-4.0549999999999997</c:v>
                </c:pt>
                <c:pt idx="4">
                  <c:v>-3.9569999999999999</c:v>
                </c:pt>
                <c:pt idx="5">
                  <c:v>-2.9569999999999999</c:v>
                </c:pt>
                <c:pt idx="6">
                  <c:v>-1.9570000000000001</c:v>
                </c:pt>
                <c:pt idx="7">
                  <c:v>-0.95699999999999996</c:v>
                </c:pt>
                <c:pt idx="8">
                  <c:v>-7.0000000000000001E-3</c:v>
                </c:pt>
                <c:pt idx="9">
                  <c:v>7.0000000000000001E-3</c:v>
                </c:pt>
                <c:pt idx="10">
                  <c:v>0.95699999999999996</c:v>
                </c:pt>
                <c:pt idx="11">
                  <c:v>1.9570000000000001</c:v>
                </c:pt>
                <c:pt idx="12">
                  <c:v>2.9569999999999999</c:v>
                </c:pt>
                <c:pt idx="13">
                  <c:v>3.9569999999999999</c:v>
                </c:pt>
                <c:pt idx="14">
                  <c:v>4.0549999999999997</c:v>
                </c:pt>
                <c:pt idx="15">
                  <c:v>4.4550000000000001</c:v>
                </c:pt>
                <c:pt idx="16">
                  <c:v>4.7549999999999999</c:v>
                </c:pt>
                <c:pt idx="17">
                  <c:v>4.95</c:v>
                </c:pt>
                <c:pt idx="18">
                  <c:v>4.9550000000000001</c:v>
                </c:pt>
              </c:numCache>
            </c:numRef>
          </c:xVal>
          <c:yVal>
            <c:numRef>
              <c:f>Tabelle1!$D$7:$D$25</c:f>
              <c:numCache>
                <c:formatCode>General</c:formatCode>
                <c:ptCount val="19"/>
                <c:pt idx="0">
                  <c:v>-4.9569999999999999</c:v>
                </c:pt>
                <c:pt idx="1">
                  <c:v>-4.7610000000000001</c:v>
                </c:pt>
                <c:pt idx="2">
                  <c:v>-4.4580000000000002</c:v>
                </c:pt>
                <c:pt idx="3">
                  <c:v>-4.0609999999999999</c:v>
                </c:pt>
                <c:pt idx="4">
                  <c:v>-3.9609999999999999</c:v>
                </c:pt>
                <c:pt idx="5">
                  <c:v>-2.9609999999999999</c:v>
                </c:pt>
                <c:pt idx="6">
                  <c:v>-1.96</c:v>
                </c:pt>
                <c:pt idx="7">
                  <c:v>-0.95899999999999996</c:v>
                </c:pt>
                <c:pt idx="8">
                  <c:v>-7.0000000000000001E-3</c:v>
                </c:pt>
                <c:pt idx="9">
                  <c:v>7.0000000000000001E-3</c:v>
                </c:pt>
                <c:pt idx="10">
                  <c:v>0.95699999999999996</c:v>
                </c:pt>
                <c:pt idx="11">
                  <c:v>1.9570000000000001</c:v>
                </c:pt>
                <c:pt idx="12">
                  <c:v>2.956</c:v>
                </c:pt>
                <c:pt idx="13">
                  <c:v>3.9569999999999999</c:v>
                </c:pt>
                <c:pt idx="14">
                  <c:v>4.0540000000000003</c:v>
                </c:pt>
                <c:pt idx="15">
                  <c:v>4.4509999999999996</c:v>
                </c:pt>
                <c:pt idx="16">
                  <c:v>4.7519999999999998</c:v>
                </c:pt>
                <c:pt idx="18">
                  <c:v>4.9530000000000003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2A-4116-89C2-1CFA10DD7A0B}"/>
            </c:ext>
          </c:extLst>
        </c:ser>
        <c:ser>
          <c:idx val="1"/>
          <c:order val="1"/>
          <c:tx>
            <c:v>ADC09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569337967763842E-2"/>
                  <c:y val="4.69833810745040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A2A-4116-89C2-1CFA10DD7A0B}"/>
                </c:ext>
              </c:extLst>
            </c:dLbl>
            <c:dLbl>
              <c:idx val="1"/>
              <c:layout>
                <c:manualLayout>
                  <c:x val="5.2466099964342695E-3"/>
                  <c:y val="5.02219435301809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A2A-4116-89C2-1CFA10DD7A0B}"/>
                </c:ext>
              </c:extLst>
            </c:dLbl>
            <c:dLbl>
              <c:idx val="2"/>
              <c:layout>
                <c:manualLayout>
                  <c:x val="2.6492783150311775E-3"/>
                  <c:y val="3.0790568796119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A2A-4116-89C2-1CFA10DD7A0B}"/>
                </c:ext>
              </c:extLst>
            </c:dLbl>
            <c:dLbl>
              <c:idx val="3"/>
              <c:layout>
                <c:manualLayout>
                  <c:x val="7.8439416778374078E-3"/>
                  <c:y val="1.7836318973411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A2A-4116-89C2-1CFA10DD7A0B}"/>
                </c:ext>
              </c:extLst>
            </c:dLbl>
            <c:dLbl>
              <c:idx val="4"/>
              <c:layout>
                <c:manualLayout>
                  <c:x val="-1.8129375136193768E-2"/>
                  <c:y val="-0.1181833041650208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A2A-4116-89C2-1CFA10DD7A0B}"/>
                </c:ext>
              </c:extLst>
            </c:dLbl>
            <c:dLbl>
              <c:idx val="5"/>
              <c:layout>
                <c:manualLayout>
                  <c:x val="1.0441273359240524E-2"/>
                  <c:y val="3.0790568796119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A2A-4116-89C2-1CFA10DD7A0B}"/>
                </c:ext>
              </c:extLst>
            </c:dLbl>
            <c:dLbl>
              <c:idx val="6"/>
              <c:layout>
                <c:manualLayout>
                  <c:x val="-6.6180011242151421E-2"/>
                  <c:y val="-8.5797679608251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A2A-4116-89C2-1CFA10DD7A0B}"/>
                </c:ext>
              </c:extLst>
            </c:dLbl>
            <c:dLbl>
              <c:idx val="8"/>
              <c:layout>
                <c:manualLayout>
                  <c:x val="-7.1686354406726941E-3"/>
                  <c:y val="7.9369005631273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A2A-4116-89C2-1CFA10DD7A0B}"/>
                </c:ext>
              </c:extLst>
            </c:dLbl>
            <c:dLbl>
              <c:idx val="9"/>
              <c:layout>
                <c:manualLayout>
                  <c:x val="2.6723270772748005E-2"/>
                  <c:y val="-1.13107431276812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A2A-4116-89C2-1CFA10DD7A0B}"/>
                </c:ext>
              </c:extLst>
            </c:dLbl>
            <c:dLbl>
              <c:idx val="10"/>
              <c:layout>
                <c:manualLayout>
                  <c:x val="1.4463865236525396E-2"/>
                  <c:y val="4.882069150703512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A2A-4116-89C2-1CFA10DD7A0B}"/>
                </c:ext>
              </c:extLst>
            </c:dLbl>
            <c:dLbl>
              <c:idx val="11"/>
              <c:layout>
                <c:manualLayout>
                  <c:x val="-7.2183119655082534E-2"/>
                  <c:y val="-7.93205546968973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A2A-4116-89C2-1CFA10DD7A0B}"/>
                </c:ext>
              </c:extLst>
            </c:dLbl>
            <c:dLbl>
              <c:idx val="12"/>
              <c:layout>
                <c:manualLayout>
                  <c:x val="-8.3871112221396552E-2"/>
                  <c:y val="-6.6366304874189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A2A-4116-89C2-1CFA10DD7A0B}"/>
                </c:ext>
              </c:extLst>
            </c:dLbl>
            <c:dLbl>
              <c:idx val="13"/>
              <c:layout>
                <c:manualLayout>
                  <c:x val="1.8723489194026409E-2"/>
                  <c:y val="6.96533182642427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A2A-4116-89C2-1CFA10DD7A0B}"/>
                </c:ext>
              </c:extLst>
            </c:dLbl>
            <c:dLbl>
              <c:idx val="14"/>
              <c:layout>
                <c:manualLayout>
                  <c:x val="-8.3871112221396649E-2"/>
                  <c:y val="-0.12466042907637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A2A-4116-89C2-1CFA10DD7A0B}"/>
                </c:ext>
              </c:extLst>
            </c:dLbl>
            <c:dLbl>
              <c:idx val="15"/>
              <c:layout>
                <c:manualLayout>
                  <c:x val="-5.400179788526082E-2"/>
                  <c:y val="-0.12466042907637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A2A-4116-89C2-1CFA10DD7A0B}"/>
                </c:ext>
              </c:extLst>
            </c:dLbl>
            <c:dLbl>
              <c:idx val="17"/>
              <c:layout>
                <c:manualLayout>
                  <c:x val="2.0022155034727873E-2"/>
                  <c:y val="-1.454930558335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A2A-4116-89C2-1CFA10DD7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Tabelle1!$C$7:$C$24</c:f>
              <c:numCache>
                <c:formatCode>General</c:formatCode>
                <c:ptCount val="18"/>
                <c:pt idx="0">
                  <c:v>-4.9550000000000001</c:v>
                </c:pt>
                <c:pt idx="1">
                  <c:v>-4.7549999999999999</c:v>
                </c:pt>
                <c:pt idx="2">
                  <c:v>-4.4550000000000001</c:v>
                </c:pt>
                <c:pt idx="3">
                  <c:v>-4.0549999999999997</c:v>
                </c:pt>
                <c:pt idx="4">
                  <c:v>-3.9569999999999999</c:v>
                </c:pt>
                <c:pt idx="5">
                  <c:v>-2.9569999999999999</c:v>
                </c:pt>
                <c:pt idx="6">
                  <c:v>-1.9570000000000001</c:v>
                </c:pt>
                <c:pt idx="7">
                  <c:v>-0.95699999999999996</c:v>
                </c:pt>
                <c:pt idx="8">
                  <c:v>-7.0000000000000001E-3</c:v>
                </c:pt>
                <c:pt idx="9">
                  <c:v>7.0000000000000001E-3</c:v>
                </c:pt>
                <c:pt idx="10">
                  <c:v>0.95699999999999996</c:v>
                </c:pt>
                <c:pt idx="11">
                  <c:v>1.9570000000000001</c:v>
                </c:pt>
                <c:pt idx="12">
                  <c:v>2.9569999999999999</c:v>
                </c:pt>
                <c:pt idx="13">
                  <c:v>3.9569999999999999</c:v>
                </c:pt>
                <c:pt idx="14">
                  <c:v>4.0549999999999997</c:v>
                </c:pt>
                <c:pt idx="15">
                  <c:v>4.4550000000000001</c:v>
                </c:pt>
                <c:pt idx="16">
                  <c:v>4.7549999999999999</c:v>
                </c:pt>
                <c:pt idx="17">
                  <c:v>4.95</c:v>
                </c:pt>
              </c:numCache>
            </c:numRef>
          </c:xVal>
          <c:yVal>
            <c:numRef>
              <c:f>Tabelle1!$E$7:$E$24</c:f>
              <c:numCache>
                <c:formatCode>General</c:formatCode>
                <c:ptCount val="18"/>
                <c:pt idx="0">
                  <c:v>-4.9599869999999999</c:v>
                </c:pt>
                <c:pt idx="1">
                  <c:v>-4.7588730000000004</c:v>
                </c:pt>
                <c:pt idx="2">
                  <c:v>-4.4559920000000002</c:v>
                </c:pt>
                <c:pt idx="3">
                  <c:v>-4.0561889999999998</c:v>
                </c:pt>
                <c:pt idx="4">
                  <c:v>-3.954421</c:v>
                </c:pt>
                <c:pt idx="5">
                  <c:v>-2.9585460000000001</c:v>
                </c:pt>
                <c:pt idx="6">
                  <c:v>-1.955403</c:v>
                </c:pt>
                <c:pt idx="7">
                  <c:v>-0.95468240000000004</c:v>
                </c:pt>
                <c:pt idx="8">
                  <c:v>-1.2115259999999999E-2</c:v>
                </c:pt>
                <c:pt idx="9">
                  <c:v>4.846103E-3</c:v>
                </c:pt>
                <c:pt idx="10">
                  <c:v>0.95468240000000004</c:v>
                </c:pt>
                <c:pt idx="11">
                  <c:v>1.9578260000000001</c:v>
                </c:pt>
                <c:pt idx="12">
                  <c:v>2.9755069999999999</c:v>
                </c:pt>
                <c:pt idx="13">
                  <c:v>3.9762279999999999</c:v>
                </c:pt>
                <c:pt idx="14">
                  <c:v>4.080419</c:v>
                </c:pt>
                <c:pt idx="15">
                  <c:v>4.4656840000000004</c:v>
                </c:pt>
                <c:pt idx="17">
                  <c:v>4.9551410000000002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2A-4116-89C2-1CFA10DD7A0B}"/>
            </c:ext>
          </c:extLst>
        </c:ser>
        <c:ser>
          <c:idx val="2"/>
          <c:order val="2"/>
          <c:tx>
            <c:v>ADC17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7504377373068964E-2"/>
                  <c:y val="1.643506695026613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2A-4116-89C2-1CFA10DD7A0B}"/>
                </c:ext>
              </c:extLst>
            </c:dLbl>
            <c:dLbl>
              <c:idx val="1"/>
              <c:layout>
                <c:manualLayout>
                  <c:x val="-5.4128392240440922E-2"/>
                  <c:y val="-8.90362420639281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2A-4116-89C2-1CFA10DD7A0B}"/>
                </c:ext>
              </c:extLst>
            </c:dLbl>
            <c:dLbl>
              <c:idx val="2"/>
              <c:layout>
                <c:manualLayout>
                  <c:x val="-7.5270672127062288E-2"/>
                  <c:y val="-0.1084676167979899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2A-4116-89C2-1CFA10DD7A0B}"/>
                </c:ext>
              </c:extLst>
            </c:dLbl>
            <c:dLbl>
              <c:idx val="3"/>
              <c:layout>
                <c:manualLayout>
                  <c:x val="-6.6180011242151407E-2"/>
                  <c:y val="-0.1538074911774673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A2A-4116-89C2-1CFA10DD7A0B}"/>
                </c:ext>
              </c:extLst>
            </c:dLbl>
            <c:dLbl>
              <c:idx val="4"/>
              <c:layout>
                <c:manualLayout>
                  <c:x val="1.35061247432962E-3"/>
                  <c:y val="-7.2843429785543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A2A-4116-89C2-1CFA10DD7A0B}"/>
                </c:ext>
              </c:extLst>
            </c:dLbl>
            <c:dLbl>
              <c:idx val="5"/>
              <c:layout>
                <c:manualLayout>
                  <c:x val="-4.540135779092646E-2"/>
                  <c:y val="-8.90362420639283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A2A-4116-89C2-1CFA10DD7A0B}"/>
                </c:ext>
              </c:extLst>
            </c:dLbl>
            <c:dLbl>
              <c:idx val="6"/>
              <c:layout>
                <c:manualLayout>
                  <c:x val="-1.2467192070735431E-3"/>
                  <c:y val="4.3744818618827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A2A-4116-89C2-1CFA10DD7A0B}"/>
                </c:ext>
              </c:extLst>
            </c:dLbl>
            <c:dLbl>
              <c:idx val="7"/>
              <c:layout>
                <c:manualLayout>
                  <c:x val="-7.6932964403160331E-2"/>
                  <c:y val="-9.8751929430959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A2A-4116-89C2-1CFA10DD7A0B}"/>
                </c:ext>
              </c:extLst>
            </c:dLbl>
            <c:dLbl>
              <c:idx val="8"/>
              <c:layout>
                <c:manualLayout>
                  <c:x val="3.4025045026380811E-2"/>
                  <c:y val="4.3744818618827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A2A-4116-89C2-1CFA10DD7A0B}"/>
                </c:ext>
              </c:extLst>
            </c:dLbl>
            <c:dLbl>
              <c:idx val="9"/>
              <c:layout>
                <c:manualLayout>
                  <c:x val="-7.5507704207278523E-2"/>
                  <c:y val="-8.57976796082512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A2A-4116-89C2-1CFA10DD7A0B}"/>
                </c:ext>
              </c:extLst>
            </c:dLbl>
            <c:dLbl>
              <c:idx val="10"/>
              <c:layout>
                <c:manualLayout>
                  <c:x val="-6.2157419364866601E-2"/>
                  <c:y val="-9.8751929430959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A2A-4116-89C2-1CFA10DD7A0B}"/>
                </c:ext>
              </c:extLst>
            </c:dLbl>
            <c:dLbl>
              <c:idx val="11"/>
              <c:layout>
                <c:manualLayout>
                  <c:x val="-7.5649841649686009E-4"/>
                  <c:y val="3.4029131251796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A2A-4116-89C2-1CFA10DD7A0B}"/>
                </c:ext>
              </c:extLst>
            </c:dLbl>
            <c:dLbl>
              <c:idx val="12"/>
              <c:layout>
                <c:manualLayout>
                  <c:x val="-3.3538300979001662E-3"/>
                  <c:y val="3.07905687961192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A2A-4116-89C2-1CFA10DD7A0B}"/>
                </c:ext>
              </c:extLst>
            </c:dLbl>
            <c:dLbl>
              <c:idx val="13"/>
              <c:layout>
                <c:manualLayout>
                  <c:x val="-2.4132483549124898E-2"/>
                  <c:y val="9.88003803653353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A2A-4116-89C2-1CFA10DD7A0B}"/>
                </c:ext>
              </c:extLst>
            </c:dLbl>
            <c:dLbl>
              <c:idx val="14"/>
              <c:layout>
                <c:manualLayout>
                  <c:x val="-8.5169778062098106E-2"/>
                  <c:y val="-6.63663048741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A2A-4116-89C2-1CFA10DD7A0B}"/>
                </c:ext>
              </c:extLst>
            </c:dLbl>
            <c:dLbl>
              <c:idx val="15"/>
              <c:layout>
                <c:manualLayout>
                  <c:x val="1.7793557177137643E-2"/>
                  <c:y val="5.06780402449693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2A-4116-89C2-1CFA10DD7A0B}"/>
                </c:ext>
              </c:extLst>
            </c:dLbl>
            <c:dLbl>
              <c:idx val="17"/>
              <c:layout>
                <c:manualLayout>
                  <c:x val="-1.7639154345617206E-2"/>
                  <c:y val="-7.9320554696897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A2A-4116-89C2-1CFA10DD7A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Tabelle1!$C$7:$C$24</c:f>
              <c:numCache>
                <c:formatCode>General</c:formatCode>
                <c:ptCount val="18"/>
                <c:pt idx="0">
                  <c:v>-4.9550000000000001</c:v>
                </c:pt>
                <c:pt idx="1">
                  <c:v>-4.7549999999999999</c:v>
                </c:pt>
                <c:pt idx="2">
                  <c:v>-4.4550000000000001</c:v>
                </c:pt>
                <c:pt idx="3">
                  <c:v>-4.0549999999999997</c:v>
                </c:pt>
                <c:pt idx="4">
                  <c:v>-3.9569999999999999</c:v>
                </c:pt>
                <c:pt idx="5">
                  <c:v>-2.9569999999999999</c:v>
                </c:pt>
                <c:pt idx="6">
                  <c:v>-1.9570000000000001</c:v>
                </c:pt>
                <c:pt idx="7">
                  <c:v>-0.95699999999999996</c:v>
                </c:pt>
                <c:pt idx="8">
                  <c:v>-7.0000000000000001E-3</c:v>
                </c:pt>
                <c:pt idx="9">
                  <c:v>7.0000000000000001E-3</c:v>
                </c:pt>
                <c:pt idx="10">
                  <c:v>0.95699999999999996</c:v>
                </c:pt>
                <c:pt idx="11">
                  <c:v>1.9570000000000001</c:v>
                </c:pt>
                <c:pt idx="12">
                  <c:v>2.9569999999999999</c:v>
                </c:pt>
                <c:pt idx="13">
                  <c:v>3.9569999999999999</c:v>
                </c:pt>
                <c:pt idx="14">
                  <c:v>4.0549999999999997</c:v>
                </c:pt>
                <c:pt idx="15">
                  <c:v>4.4550000000000001</c:v>
                </c:pt>
                <c:pt idx="16">
                  <c:v>4.7549999999999999</c:v>
                </c:pt>
                <c:pt idx="17">
                  <c:v>4.95</c:v>
                </c:pt>
              </c:numCache>
            </c:numRef>
          </c:xVal>
          <c:yVal>
            <c:numRef>
              <c:f>Tabelle1!$F$7:$F$24</c:f>
              <c:numCache>
                <c:formatCode>General</c:formatCode>
                <c:ptCount val="18"/>
                <c:pt idx="0">
                  <c:v>-4.9624100000000002</c:v>
                </c:pt>
                <c:pt idx="1">
                  <c:v>-4.7637200000000002</c:v>
                </c:pt>
                <c:pt idx="2">
                  <c:v>-4.4632610000000001</c:v>
                </c:pt>
                <c:pt idx="3">
                  <c:v>-4.0610350000000004</c:v>
                </c:pt>
                <c:pt idx="4">
                  <c:v>-3.9641130000000002</c:v>
                </c:pt>
                <c:pt idx="5">
                  <c:v>-2.960969</c:v>
                </c:pt>
                <c:pt idx="6">
                  <c:v>-1.9602489999999999</c:v>
                </c:pt>
                <c:pt idx="7">
                  <c:v>-0.95225939999999998</c:v>
                </c:pt>
                <c:pt idx="8">
                  <c:v>-9.6922069999999996E-3</c:v>
                </c:pt>
                <c:pt idx="9">
                  <c:v>1.2115259999999999E-2</c:v>
                </c:pt>
                <c:pt idx="10">
                  <c:v>0.96195149999999996</c:v>
                </c:pt>
                <c:pt idx="11">
                  <c:v>1.955403</c:v>
                </c:pt>
                <c:pt idx="12">
                  <c:v>2.9561229999999998</c:v>
                </c:pt>
                <c:pt idx="13">
                  <c:v>3.9568439999999998</c:v>
                </c:pt>
                <c:pt idx="14">
                  <c:v>4.0707269999999998</c:v>
                </c:pt>
                <c:pt idx="15">
                  <c:v>4.4705300000000001</c:v>
                </c:pt>
                <c:pt idx="17">
                  <c:v>4.9599869999999999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2A-4116-89C2-1CFA10DD7A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3124144"/>
        <c:axId val="688796944"/>
      </c:scatterChart>
      <c:valAx>
        <c:axId val="46312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Externe Spannung (Delta)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88796944"/>
        <c:crosses val="autoZero"/>
        <c:crossBetween val="midCat"/>
      </c:valAx>
      <c:valAx>
        <c:axId val="6887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ADC-Werte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312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49696</xdr:colOff>
      <xdr:row>25</xdr:row>
      <xdr:rowOff>87464</xdr:rowOff>
    </xdr:from>
    <xdr:to>
      <xdr:col>12</xdr:col>
      <xdr:colOff>0</xdr:colOff>
      <xdr:row>46</xdr:row>
      <xdr:rowOff>132522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CCE1EA2-12A8-420E-945F-B10AD0AD0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95D6-3DF5-4A0E-8218-38D026E13252}">
  <dimension ref="A1:L467"/>
  <sheetViews>
    <sheetView tabSelected="1" topLeftCell="A6" zoomScale="130" zoomScaleNormal="130" workbookViewId="0">
      <selection activeCell="S19" sqref="S19"/>
    </sheetView>
  </sheetViews>
  <sheetFormatPr baseColWidth="10" defaultRowHeight="14.4" x14ac:dyDescent="0.3"/>
  <cols>
    <col min="1" max="1" width="11.33203125" style="2" customWidth="1"/>
    <col min="2" max="2" width="11.77734375" style="2" customWidth="1"/>
    <col min="3" max="3" width="13.6640625" style="2" customWidth="1"/>
    <col min="4" max="6" width="11.5546875" style="1"/>
    <col min="7" max="9" width="15.33203125" style="3" bestFit="1" customWidth="1"/>
    <col min="10" max="10" width="25.44140625" style="4" bestFit="1" customWidth="1"/>
    <col min="11" max="11" width="25.88671875" customWidth="1"/>
    <col min="12" max="12" width="26.88671875" customWidth="1"/>
  </cols>
  <sheetData>
    <row r="1" spans="1:12" x14ac:dyDescent="0.3">
      <c r="A1" s="2" t="s">
        <v>9</v>
      </c>
      <c r="E1" s="16" t="s">
        <v>12</v>
      </c>
      <c r="F1" s="16"/>
      <c r="G1" s="16"/>
      <c r="H1" s="16"/>
      <c r="I1" s="16"/>
      <c r="J1" s="16"/>
    </row>
    <row r="2" spans="1:12" x14ac:dyDescent="0.3">
      <c r="E2" s="16"/>
      <c r="F2" s="17">
        <f>10/6.65*3.3</f>
        <v>4.962406015037593</v>
      </c>
      <c r="G2" s="16"/>
      <c r="H2" s="16"/>
      <c r="I2" s="16"/>
      <c r="J2" s="16"/>
    </row>
    <row r="3" spans="1:12" x14ac:dyDescent="0.3">
      <c r="E3" s="18" t="s">
        <v>13</v>
      </c>
      <c r="F3" s="18"/>
      <c r="G3" s="18"/>
      <c r="H3" s="18"/>
      <c r="I3" s="18"/>
      <c r="J3" s="18"/>
    </row>
    <row r="4" spans="1:12" x14ac:dyDescent="0.3">
      <c r="E4" s="18"/>
      <c r="F4" s="19" t="s">
        <v>14</v>
      </c>
      <c r="G4" s="18"/>
      <c r="H4" s="18"/>
      <c r="I4" s="18"/>
      <c r="J4" s="18"/>
    </row>
    <row r="5" spans="1:12" s="5" customFormat="1" ht="15" thickBot="1" x14ac:dyDescent="0.35">
      <c r="A5" s="6"/>
      <c r="B5" s="6"/>
      <c r="C5" s="6"/>
      <c r="D5" s="7"/>
      <c r="E5" s="7"/>
      <c r="F5" s="7"/>
      <c r="G5" s="8" t="s">
        <v>10</v>
      </c>
      <c r="H5" s="8"/>
      <c r="I5" s="8"/>
      <c r="J5" s="9" t="s">
        <v>11</v>
      </c>
      <c r="K5" s="9" t="s">
        <v>11</v>
      </c>
      <c r="L5" s="9" t="s">
        <v>11</v>
      </c>
    </row>
    <row r="6" spans="1:12" s="5" customFormat="1" ht="15" thickBot="1" x14ac:dyDescent="0.35">
      <c r="A6" s="11" t="s">
        <v>5</v>
      </c>
      <c r="B6" s="12" t="s">
        <v>4</v>
      </c>
      <c r="C6" s="12" t="s">
        <v>3</v>
      </c>
      <c r="D6" s="13" t="s">
        <v>0</v>
      </c>
      <c r="E6" s="13" t="s">
        <v>1</v>
      </c>
      <c r="F6" s="13" t="s">
        <v>2</v>
      </c>
      <c r="G6" s="14" t="s">
        <v>6</v>
      </c>
      <c r="H6" s="14" t="s">
        <v>8</v>
      </c>
      <c r="I6" s="14" t="s">
        <v>7</v>
      </c>
      <c r="J6" s="15" t="s">
        <v>15</v>
      </c>
      <c r="K6" s="15" t="s">
        <v>16</v>
      </c>
      <c r="L6" s="15" t="s">
        <v>17</v>
      </c>
    </row>
    <row r="7" spans="1:12" x14ac:dyDescent="0.3">
      <c r="A7" s="2">
        <v>0</v>
      </c>
      <c r="B7" s="2">
        <v>4.9550000000000001</v>
      </c>
      <c r="C7" s="2">
        <f t="shared" ref="C7:C25" si="0">A7-B7</f>
        <v>-4.9550000000000001</v>
      </c>
      <c r="D7" s="1">
        <v>-4.9569999999999999</v>
      </c>
      <c r="E7" s="1">
        <v>-4.9599869999999999</v>
      </c>
      <c r="F7" s="1">
        <v>-4.9624100000000002</v>
      </c>
      <c r="G7" s="10">
        <f t="shared" ref="G7:G25" si="1">C7-D7</f>
        <v>1.9999999999997797E-3</v>
      </c>
      <c r="H7" s="10">
        <f>C7-E7</f>
        <v>4.9869999999998527E-3</v>
      </c>
      <c r="I7" s="10">
        <f>C7-F7</f>
        <v>7.4100000000001387E-3</v>
      </c>
      <c r="J7" s="20">
        <f t="shared" ref="J7:L25" si="2">(G7/5)*600</f>
        <v>0.23999999999997357</v>
      </c>
      <c r="K7" s="20">
        <f>(H7/5)*600</f>
        <v>0.59843999999998232</v>
      </c>
      <c r="L7" s="20">
        <f t="shared" si="2"/>
        <v>0.88920000000001664</v>
      </c>
    </row>
    <row r="8" spans="1:12" x14ac:dyDescent="0.3">
      <c r="A8" s="2">
        <v>0</v>
      </c>
      <c r="B8" s="2">
        <v>4.7549999999999999</v>
      </c>
      <c r="C8" s="2">
        <f t="shared" si="0"/>
        <v>-4.7549999999999999</v>
      </c>
      <c r="D8" s="1">
        <v>-4.7610000000000001</v>
      </c>
      <c r="E8" s="1">
        <v>-4.7588730000000004</v>
      </c>
      <c r="F8" s="1">
        <v>-4.7637200000000002</v>
      </c>
      <c r="G8" s="10">
        <f t="shared" si="1"/>
        <v>6.0000000000002274E-3</v>
      </c>
      <c r="H8" s="10">
        <f t="shared" ref="H8:H24" si="3">C8-E8</f>
        <v>3.8730000000004594E-3</v>
      </c>
      <c r="I8" s="10">
        <f t="shared" ref="I8:I24" si="4">C8-F8</f>
        <v>8.7200000000002831E-3</v>
      </c>
      <c r="J8" s="20">
        <f t="shared" si="2"/>
        <v>0.72000000000002728</v>
      </c>
      <c r="K8" s="20">
        <f t="shared" si="2"/>
        <v>0.46476000000005513</v>
      </c>
      <c r="L8" s="20">
        <f t="shared" si="2"/>
        <v>1.046400000000034</v>
      </c>
    </row>
    <row r="9" spans="1:12" x14ac:dyDescent="0.3">
      <c r="A9" s="2">
        <v>0</v>
      </c>
      <c r="B9" s="2">
        <v>4.4550000000000001</v>
      </c>
      <c r="C9" s="2">
        <f t="shared" si="0"/>
        <v>-4.4550000000000001</v>
      </c>
      <c r="D9" s="1">
        <v>-4.4580000000000002</v>
      </c>
      <c r="E9" s="1">
        <v>-4.4559920000000002</v>
      </c>
      <c r="F9" s="1">
        <v>-4.4632610000000001</v>
      </c>
      <c r="G9" s="10">
        <f t="shared" si="1"/>
        <v>3.0000000000001137E-3</v>
      </c>
      <c r="H9" s="10">
        <f t="shared" si="3"/>
        <v>9.9200000000010391E-4</v>
      </c>
      <c r="I9" s="10">
        <f t="shared" si="4"/>
        <v>8.2610000000000738E-3</v>
      </c>
      <c r="J9" s="20">
        <f t="shared" si="2"/>
        <v>0.36000000000001364</v>
      </c>
      <c r="K9" s="20">
        <f t="shared" si="2"/>
        <v>0.11904000000001247</v>
      </c>
      <c r="L9" s="20">
        <f t="shared" si="2"/>
        <v>0.99132000000000886</v>
      </c>
    </row>
    <row r="10" spans="1:12" x14ac:dyDescent="0.3">
      <c r="A10" s="2">
        <v>0</v>
      </c>
      <c r="B10" s="2">
        <v>4.0549999999999997</v>
      </c>
      <c r="C10" s="2">
        <f t="shared" si="0"/>
        <v>-4.0549999999999997</v>
      </c>
      <c r="D10" s="1">
        <v>-4.0609999999999999</v>
      </c>
      <c r="E10" s="1">
        <v>-4.0561889999999998</v>
      </c>
      <c r="F10" s="1">
        <v>-4.0610350000000004</v>
      </c>
      <c r="G10" s="10">
        <f t="shared" si="1"/>
        <v>6.0000000000002274E-3</v>
      </c>
      <c r="H10" s="10">
        <f t="shared" si="3"/>
        <v>1.1890000000001066E-3</v>
      </c>
      <c r="I10" s="10">
        <f t="shared" si="4"/>
        <v>6.0350000000006787E-3</v>
      </c>
      <c r="J10" s="20">
        <f t="shared" si="2"/>
        <v>0.72000000000002728</v>
      </c>
      <c r="K10" s="20">
        <f t="shared" si="2"/>
        <v>0.1426800000000128</v>
      </c>
      <c r="L10" s="20">
        <f t="shared" si="2"/>
        <v>0.72420000000008145</v>
      </c>
    </row>
    <row r="11" spans="1:12" x14ac:dyDescent="0.3">
      <c r="A11" s="2">
        <v>0</v>
      </c>
      <c r="B11" s="2">
        <v>3.9569999999999999</v>
      </c>
      <c r="C11" s="2">
        <f t="shared" si="0"/>
        <v>-3.9569999999999999</v>
      </c>
      <c r="D11" s="1">
        <v>-3.9609999999999999</v>
      </c>
      <c r="E11" s="1">
        <v>-3.954421</v>
      </c>
      <c r="F11" s="1">
        <v>-3.9641130000000002</v>
      </c>
      <c r="G11" s="10">
        <f t="shared" si="1"/>
        <v>4.0000000000000036E-3</v>
      </c>
      <c r="H11" s="10">
        <f t="shared" si="3"/>
        <v>-2.5789999999998869E-3</v>
      </c>
      <c r="I11" s="10">
        <f t="shared" si="4"/>
        <v>7.113000000000369E-3</v>
      </c>
      <c r="J11" s="20">
        <f t="shared" si="2"/>
        <v>0.48000000000000043</v>
      </c>
      <c r="K11" s="20">
        <f t="shared" si="2"/>
        <v>-0.30947999999998643</v>
      </c>
      <c r="L11" s="20">
        <f t="shared" si="2"/>
        <v>0.85356000000004428</v>
      </c>
    </row>
    <row r="12" spans="1:12" x14ac:dyDescent="0.3">
      <c r="A12" s="2">
        <v>0</v>
      </c>
      <c r="B12" s="2">
        <v>2.9569999999999999</v>
      </c>
      <c r="C12" s="2">
        <f t="shared" si="0"/>
        <v>-2.9569999999999999</v>
      </c>
      <c r="D12" s="1">
        <v>-2.9609999999999999</v>
      </c>
      <c r="E12" s="1">
        <v>-2.9585460000000001</v>
      </c>
      <c r="F12" s="1">
        <v>-2.960969</v>
      </c>
      <c r="G12" s="10">
        <f t="shared" si="1"/>
        <v>4.0000000000000036E-3</v>
      </c>
      <c r="H12" s="10">
        <f t="shared" si="3"/>
        <v>1.5460000000002694E-3</v>
      </c>
      <c r="I12" s="10">
        <f t="shared" si="4"/>
        <v>3.9690000000001113E-3</v>
      </c>
      <c r="J12" s="20">
        <f t="shared" si="2"/>
        <v>0.48000000000000043</v>
      </c>
      <c r="K12" s="20">
        <f t="shared" si="2"/>
        <v>0.18552000000003233</v>
      </c>
      <c r="L12" s="20">
        <f t="shared" si="2"/>
        <v>0.47628000000001336</v>
      </c>
    </row>
    <row r="13" spans="1:12" x14ac:dyDescent="0.3">
      <c r="A13" s="2">
        <v>0</v>
      </c>
      <c r="B13" s="2">
        <v>1.9570000000000001</v>
      </c>
      <c r="C13" s="2">
        <f t="shared" si="0"/>
        <v>-1.9570000000000001</v>
      </c>
      <c r="D13" s="1">
        <v>-1.96</v>
      </c>
      <c r="E13" s="1">
        <v>-1.955403</v>
      </c>
      <c r="F13" s="1">
        <v>-1.9602489999999999</v>
      </c>
      <c r="G13" s="10">
        <f t="shared" si="1"/>
        <v>2.9999999999998916E-3</v>
      </c>
      <c r="H13" s="10">
        <f t="shared" si="3"/>
        <v>-1.5970000000000706E-3</v>
      </c>
      <c r="I13" s="10">
        <f t="shared" si="4"/>
        <v>3.2489999999998354E-3</v>
      </c>
      <c r="J13" s="20">
        <f t="shared" si="2"/>
        <v>0.359999999999987</v>
      </c>
      <c r="K13" s="20">
        <f t="shared" si="2"/>
        <v>-0.19164000000000847</v>
      </c>
      <c r="L13" s="20">
        <f t="shared" si="2"/>
        <v>0.38987999999998024</v>
      </c>
    </row>
    <row r="14" spans="1:12" x14ac:dyDescent="0.3">
      <c r="A14" s="2">
        <v>0</v>
      </c>
      <c r="B14" s="2">
        <v>0.95699999999999996</v>
      </c>
      <c r="C14" s="2">
        <f t="shared" si="0"/>
        <v>-0.95699999999999996</v>
      </c>
      <c r="D14" s="1">
        <v>-0.95899999999999996</v>
      </c>
      <c r="E14" s="1">
        <v>-0.95468240000000004</v>
      </c>
      <c r="F14" s="1">
        <v>-0.95225939999999998</v>
      </c>
      <c r="G14" s="10">
        <f t="shared" si="1"/>
        <v>2.0000000000000018E-3</v>
      </c>
      <c r="H14" s="10">
        <f t="shared" si="3"/>
        <v>-2.3175999999999197E-3</v>
      </c>
      <c r="I14" s="10">
        <f t="shared" si="4"/>
        <v>-4.7405999999999837E-3</v>
      </c>
      <c r="J14" s="20">
        <f t="shared" si="2"/>
        <v>0.24000000000000021</v>
      </c>
      <c r="K14" s="20">
        <f t="shared" si="2"/>
        <v>-0.27811199999999037</v>
      </c>
      <c r="L14" s="20">
        <f t="shared" si="2"/>
        <v>-0.56887199999999805</v>
      </c>
    </row>
    <row r="15" spans="1:12" x14ac:dyDescent="0.3">
      <c r="A15" s="2">
        <v>0</v>
      </c>
      <c r="B15" s="2">
        <v>7.0000000000000001E-3</v>
      </c>
      <c r="C15" s="2">
        <f t="shared" si="0"/>
        <v>-7.0000000000000001E-3</v>
      </c>
      <c r="D15" s="1">
        <v>-7.0000000000000001E-3</v>
      </c>
      <c r="E15" s="1">
        <v>-1.2115259999999999E-2</v>
      </c>
      <c r="F15" s="1">
        <v>-9.6922069999999996E-3</v>
      </c>
      <c r="G15" s="10">
        <f t="shared" si="1"/>
        <v>0</v>
      </c>
      <c r="H15" s="10">
        <f t="shared" si="3"/>
        <v>5.1152599999999991E-3</v>
      </c>
      <c r="I15" s="10">
        <f t="shared" si="4"/>
        <v>2.6922069999999994E-3</v>
      </c>
      <c r="J15" s="20">
        <f t="shared" si="2"/>
        <v>0</v>
      </c>
      <c r="K15" s="20">
        <f t="shared" si="2"/>
        <v>0.61383119999999991</v>
      </c>
      <c r="L15" s="20">
        <f t="shared" si="2"/>
        <v>0.32306483999999991</v>
      </c>
    </row>
    <row r="16" spans="1:12" x14ac:dyDescent="0.3">
      <c r="A16" s="2">
        <v>7.0000000000000001E-3</v>
      </c>
      <c r="B16" s="2">
        <v>0</v>
      </c>
      <c r="C16" s="2">
        <f t="shared" si="0"/>
        <v>7.0000000000000001E-3</v>
      </c>
      <c r="D16" s="1">
        <v>7.0000000000000001E-3</v>
      </c>
      <c r="E16" s="1">
        <v>4.846103E-3</v>
      </c>
      <c r="F16" s="1">
        <v>1.2115259999999999E-2</v>
      </c>
      <c r="G16" s="10">
        <f t="shared" si="1"/>
        <v>0</v>
      </c>
      <c r="H16" s="10">
        <f t="shared" si="3"/>
        <v>2.1538970000000001E-3</v>
      </c>
      <c r="I16" s="10">
        <f t="shared" si="4"/>
        <v>-5.1152599999999991E-3</v>
      </c>
      <c r="J16" s="20">
        <f t="shared" si="2"/>
        <v>0</v>
      </c>
      <c r="K16" s="20">
        <f t="shared" si="2"/>
        <v>0.25846764</v>
      </c>
      <c r="L16" s="20">
        <f t="shared" si="2"/>
        <v>-0.61383119999999991</v>
      </c>
    </row>
    <row r="17" spans="1:12" x14ac:dyDescent="0.3">
      <c r="A17" s="2">
        <v>0.95699999999999996</v>
      </c>
      <c r="B17" s="2">
        <v>0</v>
      </c>
      <c r="C17" s="2">
        <f t="shared" si="0"/>
        <v>0.95699999999999996</v>
      </c>
      <c r="D17" s="1">
        <v>0.95699999999999996</v>
      </c>
      <c r="E17" s="1">
        <v>0.95468240000000004</v>
      </c>
      <c r="F17" s="1">
        <v>0.96195149999999996</v>
      </c>
      <c r="G17" s="10">
        <f t="shared" si="1"/>
        <v>0</v>
      </c>
      <c r="H17" s="10">
        <f t="shared" si="3"/>
        <v>2.3175999999999197E-3</v>
      </c>
      <c r="I17" s="10">
        <f t="shared" si="4"/>
        <v>-4.9514999999999976E-3</v>
      </c>
      <c r="J17" s="20">
        <f t="shared" si="2"/>
        <v>0</v>
      </c>
      <c r="K17" s="20">
        <f t="shared" si="2"/>
        <v>0.27811199999999037</v>
      </c>
      <c r="L17" s="20">
        <f t="shared" si="2"/>
        <v>-0.59417999999999971</v>
      </c>
    </row>
    <row r="18" spans="1:12" x14ac:dyDescent="0.3">
      <c r="A18" s="2">
        <v>1.9570000000000001</v>
      </c>
      <c r="B18" s="2">
        <v>0</v>
      </c>
      <c r="C18" s="2">
        <f t="shared" si="0"/>
        <v>1.9570000000000001</v>
      </c>
      <c r="D18" s="1">
        <v>1.9570000000000001</v>
      </c>
      <c r="E18" s="1">
        <v>1.9578260000000001</v>
      </c>
      <c r="F18" s="1">
        <v>1.955403</v>
      </c>
      <c r="G18" s="10">
        <f t="shared" si="1"/>
        <v>0</v>
      </c>
      <c r="H18" s="10">
        <f t="shared" si="3"/>
        <v>-8.2599999999999341E-4</v>
      </c>
      <c r="I18" s="10">
        <f t="shared" si="4"/>
        <v>1.5970000000000706E-3</v>
      </c>
      <c r="J18" s="20">
        <f>(G18/5)*600</f>
        <v>0</v>
      </c>
      <c r="K18" s="20">
        <f>(H18/5)*600</f>
        <v>-9.9119999999999209E-2</v>
      </c>
      <c r="L18" s="20">
        <f>(I18/5)*600</f>
        <v>0.19164000000000847</v>
      </c>
    </row>
    <row r="19" spans="1:12" x14ac:dyDescent="0.3">
      <c r="A19" s="2">
        <v>2.9569999999999999</v>
      </c>
      <c r="B19" s="2">
        <v>0</v>
      </c>
      <c r="C19" s="2">
        <f t="shared" si="0"/>
        <v>2.9569999999999999</v>
      </c>
      <c r="D19" s="1">
        <v>2.956</v>
      </c>
      <c r="E19" s="1">
        <v>2.9755069999999999</v>
      </c>
      <c r="F19" s="1">
        <v>2.9561229999999998</v>
      </c>
      <c r="G19" s="10">
        <f t="shared" si="1"/>
        <v>9.9999999999988987E-4</v>
      </c>
      <c r="H19" s="10">
        <f t="shared" si="3"/>
        <v>-1.8507000000000051E-2</v>
      </c>
      <c r="I19" s="10">
        <f t="shared" si="4"/>
        <v>8.7700000000001666E-4</v>
      </c>
      <c r="J19" s="20">
        <f t="shared" si="2"/>
        <v>0.11999999999998678</v>
      </c>
      <c r="K19" s="20">
        <f t="shared" si="2"/>
        <v>-2.2208400000000061</v>
      </c>
      <c r="L19" s="20">
        <f>(I19/5)*600</f>
        <v>0.105240000000002</v>
      </c>
    </row>
    <row r="20" spans="1:12" x14ac:dyDescent="0.3">
      <c r="A20" s="2">
        <v>3.9569999999999999</v>
      </c>
      <c r="B20" s="2">
        <v>0</v>
      </c>
      <c r="C20" s="2">
        <f t="shared" si="0"/>
        <v>3.9569999999999999</v>
      </c>
      <c r="D20" s="1">
        <v>3.9569999999999999</v>
      </c>
      <c r="E20" s="1">
        <v>3.9762279999999999</v>
      </c>
      <c r="F20" s="1">
        <v>3.9568439999999998</v>
      </c>
      <c r="G20" s="10">
        <f t="shared" si="1"/>
        <v>0</v>
      </c>
      <c r="H20" s="10">
        <f t="shared" si="3"/>
        <v>-1.9228000000000023E-2</v>
      </c>
      <c r="I20" s="10">
        <f t="shared" si="4"/>
        <v>1.5600000000004499E-4</v>
      </c>
      <c r="J20" s="20">
        <f t="shared" si="2"/>
        <v>0</v>
      </c>
      <c r="K20" s="20">
        <f>(H20/5)*600</f>
        <v>-2.3073600000000027</v>
      </c>
      <c r="L20" s="20">
        <f t="shared" si="2"/>
        <v>1.8720000000005399E-2</v>
      </c>
    </row>
    <row r="21" spans="1:12" x14ac:dyDescent="0.3">
      <c r="A21" s="2">
        <v>4.0549999999999997</v>
      </c>
      <c r="B21" s="2">
        <v>0</v>
      </c>
      <c r="C21" s="2">
        <f t="shared" si="0"/>
        <v>4.0549999999999997</v>
      </c>
      <c r="D21" s="1">
        <v>4.0540000000000003</v>
      </c>
      <c r="E21" s="1">
        <v>4.080419</v>
      </c>
      <c r="F21" s="1">
        <v>4.0707269999999998</v>
      </c>
      <c r="G21" s="10">
        <f t="shared" si="1"/>
        <v>9.9999999999944578E-4</v>
      </c>
      <c r="H21" s="10">
        <f>C21-E21</f>
        <v>-2.5419000000000302E-2</v>
      </c>
      <c r="I21" s="10">
        <f t="shared" si="4"/>
        <v>-1.5727000000000046E-2</v>
      </c>
      <c r="J21" s="20">
        <f t="shared" si="2"/>
        <v>0.11999999999993349</v>
      </c>
      <c r="K21" s="20">
        <f t="shared" si="2"/>
        <v>-3.0502800000000363</v>
      </c>
      <c r="L21" s="20">
        <f t="shared" si="2"/>
        <v>-1.8872400000000056</v>
      </c>
    </row>
    <row r="22" spans="1:12" x14ac:dyDescent="0.3">
      <c r="A22" s="2">
        <v>4.4550000000000001</v>
      </c>
      <c r="B22" s="2">
        <v>0</v>
      </c>
      <c r="C22" s="2">
        <f t="shared" si="0"/>
        <v>4.4550000000000001</v>
      </c>
      <c r="D22" s="1">
        <v>4.4509999999999996</v>
      </c>
      <c r="E22" s="1">
        <v>4.4656840000000004</v>
      </c>
      <c r="F22" s="1">
        <v>4.4705300000000001</v>
      </c>
      <c r="G22" s="10">
        <f t="shared" si="1"/>
        <v>4.0000000000004476E-3</v>
      </c>
      <c r="H22" s="10">
        <f t="shared" si="3"/>
        <v>-1.068400000000036E-2</v>
      </c>
      <c r="I22" s="10">
        <f t="shared" si="4"/>
        <v>-1.5530000000000044E-2</v>
      </c>
      <c r="J22" s="20">
        <f t="shared" si="2"/>
        <v>0.48000000000005372</v>
      </c>
      <c r="K22" s="20">
        <f t="shared" si="2"/>
        <v>-1.2820800000000432</v>
      </c>
      <c r="L22" s="20">
        <f t="shared" si="2"/>
        <v>-1.8636000000000053</v>
      </c>
    </row>
    <row r="23" spans="1:12" x14ac:dyDescent="0.3">
      <c r="A23" s="2">
        <v>4.7549999999999999</v>
      </c>
      <c r="B23" s="2">
        <v>0</v>
      </c>
      <c r="C23" s="2">
        <f t="shared" si="0"/>
        <v>4.7549999999999999</v>
      </c>
      <c r="D23" s="1">
        <v>4.7519999999999998</v>
      </c>
      <c r="G23" s="10">
        <f t="shared" si="1"/>
        <v>3.0000000000001137E-3</v>
      </c>
      <c r="H23" s="10"/>
      <c r="I23" s="10"/>
      <c r="J23" s="20">
        <f t="shared" si="2"/>
        <v>0.36000000000001364</v>
      </c>
      <c r="K23" s="20"/>
      <c r="L23" s="20"/>
    </row>
    <row r="24" spans="1:12" x14ac:dyDescent="0.3">
      <c r="A24" s="2">
        <v>4.95</v>
      </c>
      <c r="B24" s="2">
        <v>0</v>
      </c>
      <c r="C24" s="2">
        <f t="shared" si="0"/>
        <v>4.95</v>
      </c>
      <c r="E24" s="1">
        <v>4.9551410000000002</v>
      </c>
      <c r="F24" s="1">
        <v>4.9599869999999999</v>
      </c>
      <c r="G24" s="10"/>
      <c r="H24" s="10">
        <f t="shared" si="3"/>
        <v>-5.1410000000000622E-3</v>
      </c>
      <c r="I24" s="10">
        <f t="shared" si="4"/>
        <v>-9.9869999999997461E-3</v>
      </c>
      <c r="J24" s="20"/>
      <c r="K24" s="20">
        <f t="shared" ref="K24" si="5">(H24/5)*600</f>
        <v>-0.61692000000000746</v>
      </c>
      <c r="L24" s="20">
        <f t="shared" ref="L24" si="6">(I24/5)*600</f>
        <v>-1.1984399999999695</v>
      </c>
    </row>
    <row r="25" spans="1:12" x14ac:dyDescent="0.3">
      <c r="A25" s="2">
        <v>4.9550000000000001</v>
      </c>
      <c r="B25" s="2">
        <v>0</v>
      </c>
      <c r="C25" s="2">
        <f t="shared" si="0"/>
        <v>4.9550000000000001</v>
      </c>
      <c r="D25" s="1">
        <v>4.9530000000000003</v>
      </c>
      <c r="G25" s="10">
        <f t="shared" si="1"/>
        <v>1.9999999999997797E-3</v>
      </c>
      <c r="H25" s="10"/>
      <c r="J25" s="20">
        <f t="shared" si="2"/>
        <v>0.23999999999997357</v>
      </c>
      <c r="K25" s="20"/>
      <c r="L25" s="20"/>
    </row>
    <row r="26" spans="1:12" x14ac:dyDescent="0.3">
      <c r="K26" s="4"/>
      <c r="L26" s="4"/>
    </row>
    <row r="27" spans="1:12" x14ac:dyDescent="0.3">
      <c r="K27" s="4"/>
      <c r="L27" s="4"/>
    </row>
    <row r="28" spans="1:12" x14ac:dyDescent="0.3">
      <c r="K28" s="4"/>
      <c r="L28" s="4"/>
    </row>
    <row r="29" spans="1:12" x14ac:dyDescent="0.3">
      <c r="K29" s="4"/>
      <c r="L29" s="4"/>
    </row>
    <row r="30" spans="1:12" x14ac:dyDescent="0.3">
      <c r="K30" s="4"/>
      <c r="L30" s="4"/>
    </row>
    <row r="31" spans="1:12" x14ac:dyDescent="0.3">
      <c r="K31" s="4"/>
      <c r="L31" s="4"/>
    </row>
    <row r="32" spans="1:12" x14ac:dyDescent="0.3">
      <c r="K32" s="4"/>
      <c r="L32" s="4"/>
    </row>
    <row r="33" spans="11:12" x14ac:dyDescent="0.3">
      <c r="K33" s="4"/>
      <c r="L33" s="4"/>
    </row>
    <row r="34" spans="11:12" x14ac:dyDescent="0.3">
      <c r="K34" s="4"/>
      <c r="L34" s="4"/>
    </row>
    <row r="35" spans="11:12" x14ac:dyDescent="0.3">
      <c r="K35" s="4"/>
      <c r="L35" s="4"/>
    </row>
    <row r="36" spans="11:12" x14ac:dyDescent="0.3">
      <c r="K36" s="4"/>
      <c r="L36" s="4"/>
    </row>
    <row r="37" spans="11:12" x14ac:dyDescent="0.3">
      <c r="K37" s="4"/>
      <c r="L37" s="4"/>
    </row>
    <row r="38" spans="11:12" x14ac:dyDescent="0.3">
      <c r="K38" s="4"/>
      <c r="L38" s="4"/>
    </row>
    <row r="39" spans="11:12" x14ac:dyDescent="0.3">
      <c r="K39" s="4"/>
      <c r="L39" s="4"/>
    </row>
    <row r="40" spans="11:12" x14ac:dyDescent="0.3">
      <c r="K40" s="4"/>
      <c r="L40" s="4"/>
    </row>
    <row r="41" spans="11:12" x14ac:dyDescent="0.3">
      <c r="K41" s="4"/>
      <c r="L41" s="4"/>
    </row>
    <row r="42" spans="11:12" x14ac:dyDescent="0.3">
      <c r="K42" s="4"/>
      <c r="L42" s="4"/>
    </row>
    <row r="43" spans="11:12" x14ac:dyDescent="0.3">
      <c r="K43" s="4"/>
      <c r="L43" s="4"/>
    </row>
    <row r="44" spans="11:12" x14ac:dyDescent="0.3">
      <c r="K44" s="4"/>
      <c r="L44" s="4"/>
    </row>
    <row r="45" spans="11:12" x14ac:dyDescent="0.3">
      <c r="K45" s="4"/>
      <c r="L45" s="4"/>
    </row>
    <row r="46" spans="11:12" x14ac:dyDescent="0.3">
      <c r="K46" s="4"/>
      <c r="L46" s="4"/>
    </row>
    <row r="47" spans="11:12" x14ac:dyDescent="0.3">
      <c r="K47" s="4"/>
      <c r="L47" s="4"/>
    </row>
    <row r="48" spans="11:12" x14ac:dyDescent="0.3">
      <c r="K48" s="4"/>
      <c r="L48" s="4"/>
    </row>
    <row r="49" spans="11:12" x14ac:dyDescent="0.3">
      <c r="K49" s="4"/>
      <c r="L49" s="4"/>
    </row>
    <row r="50" spans="11:12" x14ac:dyDescent="0.3">
      <c r="K50" s="4"/>
      <c r="L50" s="4"/>
    </row>
    <row r="51" spans="11:12" x14ac:dyDescent="0.3">
      <c r="K51" s="4"/>
      <c r="L51" s="4"/>
    </row>
    <row r="52" spans="11:12" x14ac:dyDescent="0.3">
      <c r="K52" s="4"/>
      <c r="L52" s="4"/>
    </row>
    <row r="53" spans="11:12" x14ac:dyDescent="0.3">
      <c r="K53" s="4"/>
      <c r="L53" s="4"/>
    </row>
    <row r="54" spans="11:12" x14ac:dyDescent="0.3">
      <c r="K54" s="4"/>
      <c r="L54" s="4"/>
    </row>
    <row r="55" spans="11:12" x14ac:dyDescent="0.3">
      <c r="K55" s="4"/>
      <c r="L55" s="4"/>
    </row>
    <row r="56" spans="11:12" x14ac:dyDescent="0.3">
      <c r="K56" s="4"/>
      <c r="L56" s="4"/>
    </row>
    <row r="57" spans="11:12" x14ac:dyDescent="0.3">
      <c r="K57" s="4"/>
      <c r="L57" s="4"/>
    </row>
    <row r="58" spans="11:12" x14ac:dyDescent="0.3">
      <c r="K58" s="4"/>
      <c r="L58" s="4"/>
    </row>
    <row r="59" spans="11:12" x14ac:dyDescent="0.3">
      <c r="K59" s="4"/>
      <c r="L59" s="4"/>
    </row>
    <row r="60" spans="11:12" x14ac:dyDescent="0.3">
      <c r="K60" s="4"/>
      <c r="L60" s="4"/>
    </row>
    <row r="61" spans="11:12" x14ac:dyDescent="0.3">
      <c r="K61" s="4"/>
      <c r="L61" s="4"/>
    </row>
    <row r="62" spans="11:12" x14ac:dyDescent="0.3">
      <c r="K62" s="4"/>
      <c r="L62" s="4"/>
    </row>
    <row r="63" spans="11:12" x14ac:dyDescent="0.3">
      <c r="K63" s="4"/>
      <c r="L63" s="4"/>
    </row>
    <row r="64" spans="11:12" x14ac:dyDescent="0.3">
      <c r="K64" s="4"/>
      <c r="L64" s="4"/>
    </row>
    <row r="65" spans="11:12" x14ac:dyDescent="0.3">
      <c r="K65" s="4"/>
      <c r="L65" s="4"/>
    </row>
    <row r="66" spans="11:12" x14ac:dyDescent="0.3">
      <c r="K66" s="4"/>
      <c r="L66" s="4"/>
    </row>
    <row r="67" spans="11:12" x14ac:dyDescent="0.3">
      <c r="K67" s="4"/>
      <c r="L67" s="4"/>
    </row>
    <row r="68" spans="11:12" x14ac:dyDescent="0.3">
      <c r="K68" s="4"/>
      <c r="L68" s="4"/>
    </row>
    <row r="69" spans="11:12" x14ac:dyDescent="0.3">
      <c r="K69" s="4"/>
      <c r="L69" s="4"/>
    </row>
    <row r="70" spans="11:12" x14ac:dyDescent="0.3">
      <c r="K70" s="4"/>
      <c r="L70" s="4"/>
    </row>
    <row r="71" spans="11:12" x14ac:dyDescent="0.3">
      <c r="K71" s="4"/>
      <c r="L71" s="4"/>
    </row>
    <row r="72" spans="11:12" x14ac:dyDescent="0.3">
      <c r="K72" s="4"/>
      <c r="L72" s="4"/>
    </row>
    <row r="73" spans="11:12" x14ac:dyDescent="0.3">
      <c r="K73" s="4"/>
      <c r="L73" s="4"/>
    </row>
    <row r="74" spans="11:12" x14ac:dyDescent="0.3">
      <c r="K74" s="4"/>
      <c r="L74" s="4"/>
    </row>
    <row r="75" spans="11:12" x14ac:dyDescent="0.3">
      <c r="K75" s="4"/>
      <c r="L75" s="4"/>
    </row>
    <row r="76" spans="11:12" x14ac:dyDescent="0.3">
      <c r="K76" s="4"/>
      <c r="L76" s="4"/>
    </row>
    <row r="77" spans="11:12" x14ac:dyDescent="0.3">
      <c r="K77" s="4"/>
      <c r="L77" s="4"/>
    </row>
    <row r="78" spans="11:12" x14ac:dyDescent="0.3">
      <c r="K78" s="4"/>
      <c r="L78" s="4"/>
    </row>
    <row r="79" spans="11:12" x14ac:dyDescent="0.3">
      <c r="K79" s="4"/>
      <c r="L79" s="4"/>
    </row>
    <row r="80" spans="11:12" x14ac:dyDescent="0.3">
      <c r="K80" s="4"/>
      <c r="L80" s="4"/>
    </row>
    <row r="81" spans="11:12" x14ac:dyDescent="0.3">
      <c r="K81" s="4"/>
      <c r="L81" s="4"/>
    </row>
    <row r="82" spans="11:12" x14ac:dyDescent="0.3">
      <c r="K82" s="4"/>
      <c r="L82" s="4"/>
    </row>
    <row r="83" spans="11:12" x14ac:dyDescent="0.3">
      <c r="K83" s="4"/>
      <c r="L83" s="4"/>
    </row>
    <row r="84" spans="11:12" x14ac:dyDescent="0.3">
      <c r="K84" s="4"/>
      <c r="L84" s="4"/>
    </row>
    <row r="85" spans="11:12" x14ac:dyDescent="0.3">
      <c r="K85" s="4"/>
      <c r="L85" s="4"/>
    </row>
    <row r="86" spans="11:12" x14ac:dyDescent="0.3">
      <c r="K86" s="4"/>
      <c r="L86" s="4"/>
    </row>
    <row r="87" spans="11:12" x14ac:dyDescent="0.3">
      <c r="K87" s="4"/>
      <c r="L87" s="4"/>
    </row>
    <row r="88" spans="11:12" x14ac:dyDescent="0.3">
      <c r="K88" s="4"/>
      <c r="L88" s="4"/>
    </row>
    <row r="89" spans="11:12" x14ac:dyDescent="0.3">
      <c r="K89" s="4"/>
      <c r="L89" s="4"/>
    </row>
    <row r="90" spans="11:12" x14ac:dyDescent="0.3">
      <c r="K90" s="4"/>
      <c r="L90" s="4"/>
    </row>
    <row r="91" spans="11:12" x14ac:dyDescent="0.3">
      <c r="K91" s="4"/>
      <c r="L91" s="4"/>
    </row>
    <row r="92" spans="11:12" x14ac:dyDescent="0.3">
      <c r="K92" s="4"/>
      <c r="L92" s="4"/>
    </row>
    <row r="93" spans="11:12" x14ac:dyDescent="0.3">
      <c r="K93" s="4"/>
      <c r="L93" s="4"/>
    </row>
    <row r="94" spans="11:12" x14ac:dyDescent="0.3">
      <c r="K94" s="4"/>
      <c r="L94" s="4"/>
    </row>
    <row r="95" spans="11:12" x14ac:dyDescent="0.3">
      <c r="K95" s="4"/>
      <c r="L95" s="4"/>
    </row>
    <row r="96" spans="11:12" x14ac:dyDescent="0.3">
      <c r="K96" s="4"/>
      <c r="L96" s="4"/>
    </row>
    <row r="97" spans="11:12" x14ac:dyDescent="0.3">
      <c r="K97" s="4"/>
      <c r="L97" s="4"/>
    </row>
    <row r="98" spans="11:12" x14ac:dyDescent="0.3">
      <c r="K98" s="4"/>
      <c r="L98" s="4"/>
    </row>
    <row r="99" spans="11:12" x14ac:dyDescent="0.3">
      <c r="K99" s="4"/>
      <c r="L99" s="4"/>
    </row>
    <row r="100" spans="11:12" x14ac:dyDescent="0.3">
      <c r="K100" s="4"/>
      <c r="L100" s="4"/>
    </row>
    <row r="101" spans="11:12" x14ac:dyDescent="0.3">
      <c r="K101" s="4"/>
      <c r="L101" s="4"/>
    </row>
    <row r="102" spans="11:12" x14ac:dyDescent="0.3">
      <c r="K102" s="4"/>
      <c r="L102" s="4"/>
    </row>
    <row r="103" spans="11:12" x14ac:dyDescent="0.3">
      <c r="K103" s="4"/>
      <c r="L103" s="4"/>
    </row>
    <row r="104" spans="11:12" x14ac:dyDescent="0.3">
      <c r="K104" s="4"/>
      <c r="L104" s="4"/>
    </row>
    <row r="105" spans="11:12" x14ac:dyDescent="0.3">
      <c r="K105" s="4"/>
      <c r="L105" s="4"/>
    </row>
    <row r="106" spans="11:12" x14ac:dyDescent="0.3">
      <c r="K106" s="4"/>
      <c r="L106" s="4"/>
    </row>
    <row r="107" spans="11:12" x14ac:dyDescent="0.3">
      <c r="K107" s="4"/>
      <c r="L107" s="4"/>
    </row>
    <row r="108" spans="11:12" x14ac:dyDescent="0.3">
      <c r="K108" s="4"/>
      <c r="L108" s="4"/>
    </row>
    <row r="109" spans="11:12" x14ac:dyDescent="0.3">
      <c r="K109" s="4"/>
      <c r="L109" s="4"/>
    </row>
    <row r="110" spans="11:12" x14ac:dyDescent="0.3">
      <c r="K110" s="4"/>
      <c r="L110" s="4"/>
    </row>
    <row r="111" spans="11:12" x14ac:dyDescent="0.3">
      <c r="K111" s="4"/>
      <c r="L111" s="4"/>
    </row>
    <row r="112" spans="11:12" x14ac:dyDescent="0.3">
      <c r="K112" s="4"/>
      <c r="L112" s="4"/>
    </row>
    <row r="113" spans="11:12" x14ac:dyDescent="0.3">
      <c r="K113" s="4"/>
      <c r="L113" s="4"/>
    </row>
    <row r="114" spans="11:12" x14ac:dyDescent="0.3">
      <c r="K114" s="4"/>
      <c r="L114" s="4"/>
    </row>
    <row r="115" spans="11:12" x14ac:dyDescent="0.3">
      <c r="K115" s="4"/>
      <c r="L115" s="4"/>
    </row>
    <row r="116" spans="11:12" x14ac:dyDescent="0.3">
      <c r="K116" s="4"/>
      <c r="L116" s="4"/>
    </row>
    <row r="117" spans="11:12" x14ac:dyDescent="0.3">
      <c r="K117" s="4"/>
      <c r="L117" s="4"/>
    </row>
    <row r="118" spans="11:12" x14ac:dyDescent="0.3">
      <c r="K118" s="4"/>
      <c r="L118" s="4"/>
    </row>
    <row r="119" spans="11:12" x14ac:dyDescent="0.3">
      <c r="K119" s="4"/>
      <c r="L119" s="4"/>
    </row>
    <row r="120" spans="11:12" x14ac:dyDescent="0.3">
      <c r="K120" s="4"/>
      <c r="L120" s="4"/>
    </row>
    <row r="121" spans="11:12" x14ac:dyDescent="0.3">
      <c r="K121" s="4"/>
      <c r="L121" s="4"/>
    </row>
    <row r="122" spans="11:12" x14ac:dyDescent="0.3">
      <c r="K122" s="4"/>
      <c r="L122" s="4"/>
    </row>
    <row r="123" spans="11:12" x14ac:dyDescent="0.3">
      <c r="K123" s="4"/>
      <c r="L123" s="4"/>
    </row>
    <row r="124" spans="11:12" x14ac:dyDescent="0.3">
      <c r="K124" s="4"/>
      <c r="L124" s="4"/>
    </row>
    <row r="125" spans="11:12" x14ac:dyDescent="0.3">
      <c r="K125" s="4"/>
      <c r="L125" s="4"/>
    </row>
    <row r="126" spans="11:12" x14ac:dyDescent="0.3">
      <c r="K126" s="4"/>
      <c r="L126" s="4"/>
    </row>
    <row r="127" spans="11:12" x14ac:dyDescent="0.3">
      <c r="K127" s="4"/>
      <c r="L127" s="4"/>
    </row>
    <row r="128" spans="11:12" x14ac:dyDescent="0.3">
      <c r="K128" s="4"/>
      <c r="L128" s="4"/>
    </row>
    <row r="129" spans="11:12" x14ac:dyDescent="0.3">
      <c r="K129" s="4"/>
      <c r="L129" s="4"/>
    </row>
    <row r="130" spans="11:12" x14ac:dyDescent="0.3">
      <c r="K130" s="4"/>
      <c r="L130" s="4"/>
    </row>
    <row r="131" spans="11:12" x14ac:dyDescent="0.3">
      <c r="K131" s="4"/>
      <c r="L131" s="4"/>
    </row>
    <row r="132" spans="11:12" x14ac:dyDescent="0.3">
      <c r="K132" s="4"/>
      <c r="L132" s="4"/>
    </row>
    <row r="133" spans="11:12" x14ac:dyDescent="0.3">
      <c r="K133" s="4"/>
      <c r="L133" s="4"/>
    </row>
    <row r="134" spans="11:12" x14ac:dyDescent="0.3">
      <c r="K134" s="4"/>
      <c r="L134" s="4"/>
    </row>
    <row r="135" spans="11:12" x14ac:dyDescent="0.3">
      <c r="K135" s="4"/>
      <c r="L135" s="4"/>
    </row>
    <row r="136" spans="11:12" x14ac:dyDescent="0.3">
      <c r="K136" s="4"/>
      <c r="L136" s="4"/>
    </row>
    <row r="137" spans="11:12" x14ac:dyDescent="0.3">
      <c r="K137" s="4"/>
      <c r="L137" s="4"/>
    </row>
    <row r="138" spans="11:12" x14ac:dyDescent="0.3">
      <c r="K138" s="4"/>
      <c r="L138" s="4"/>
    </row>
    <row r="139" spans="11:12" x14ac:dyDescent="0.3">
      <c r="K139" s="4"/>
      <c r="L139" s="4"/>
    </row>
    <row r="140" spans="11:12" x14ac:dyDescent="0.3">
      <c r="K140" s="4"/>
      <c r="L140" s="4"/>
    </row>
    <row r="141" spans="11:12" x14ac:dyDescent="0.3">
      <c r="K141" s="4"/>
      <c r="L141" s="4"/>
    </row>
    <row r="142" spans="11:12" x14ac:dyDescent="0.3">
      <c r="K142" s="4"/>
      <c r="L142" s="4"/>
    </row>
    <row r="143" spans="11:12" x14ac:dyDescent="0.3">
      <c r="K143" s="4"/>
      <c r="L143" s="4"/>
    </row>
    <row r="144" spans="11:12" x14ac:dyDescent="0.3">
      <c r="K144" s="4"/>
      <c r="L144" s="4"/>
    </row>
    <row r="145" spans="11:12" x14ac:dyDescent="0.3">
      <c r="K145" s="4"/>
      <c r="L145" s="4"/>
    </row>
    <row r="146" spans="11:12" x14ac:dyDescent="0.3">
      <c r="K146" s="4"/>
      <c r="L146" s="4"/>
    </row>
    <row r="147" spans="11:12" x14ac:dyDescent="0.3">
      <c r="K147" s="4"/>
      <c r="L147" s="4"/>
    </row>
    <row r="148" spans="11:12" x14ac:dyDescent="0.3">
      <c r="K148" s="4"/>
      <c r="L148" s="4"/>
    </row>
    <row r="149" spans="11:12" x14ac:dyDescent="0.3">
      <c r="K149" s="4"/>
      <c r="L149" s="4"/>
    </row>
    <row r="150" spans="11:12" x14ac:dyDescent="0.3">
      <c r="K150" s="4"/>
      <c r="L150" s="4"/>
    </row>
    <row r="151" spans="11:12" x14ac:dyDescent="0.3">
      <c r="K151" s="4"/>
      <c r="L151" s="4"/>
    </row>
    <row r="152" spans="11:12" x14ac:dyDescent="0.3">
      <c r="K152" s="4"/>
      <c r="L152" s="4"/>
    </row>
    <row r="153" spans="11:12" x14ac:dyDescent="0.3">
      <c r="K153" s="4"/>
      <c r="L153" s="4"/>
    </row>
    <row r="154" spans="11:12" x14ac:dyDescent="0.3">
      <c r="K154" s="4"/>
      <c r="L154" s="4"/>
    </row>
    <row r="155" spans="11:12" x14ac:dyDescent="0.3">
      <c r="K155" s="4"/>
      <c r="L155" s="4"/>
    </row>
    <row r="156" spans="11:12" x14ac:dyDescent="0.3">
      <c r="K156" s="4"/>
      <c r="L156" s="4"/>
    </row>
    <row r="157" spans="11:12" x14ac:dyDescent="0.3">
      <c r="K157" s="4"/>
      <c r="L157" s="4"/>
    </row>
    <row r="158" spans="11:12" x14ac:dyDescent="0.3">
      <c r="K158" s="4"/>
      <c r="L158" s="4"/>
    </row>
    <row r="159" spans="11:12" x14ac:dyDescent="0.3">
      <c r="K159" s="4"/>
      <c r="L159" s="4"/>
    </row>
    <row r="160" spans="11:12" x14ac:dyDescent="0.3">
      <c r="K160" s="4"/>
      <c r="L160" s="4"/>
    </row>
    <row r="161" spans="11:12" x14ac:dyDescent="0.3">
      <c r="K161" s="4"/>
      <c r="L161" s="4"/>
    </row>
    <row r="162" spans="11:12" x14ac:dyDescent="0.3">
      <c r="K162" s="4"/>
      <c r="L162" s="4"/>
    </row>
    <row r="163" spans="11:12" x14ac:dyDescent="0.3">
      <c r="K163" s="4"/>
      <c r="L163" s="4"/>
    </row>
    <row r="164" spans="11:12" x14ac:dyDescent="0.3">
      <c r="K164" s="4"/>
      <c r="L164" s="4"/>
    </row>
    <row r="165" spans="11:12" x14ac:dyDescent="0.3">
      <c r="K165" s="4"/>
      <c r="L165" s="4"/>
    </row>
    <row r="166" spans="11:12" x14ac:dyDescent="0.3">
      <c r="K166" s="4"/>
      <c r="L166" s="4"/>
    </row>
    <row r="167" spans="11:12" x14ac:dyDescent="0.3">
      <c r="K167" s="4"/>
      <c r="L167" s="4"/>
    </row>
    <row r="168" spans="11:12" x14ac:dyDescent="0.3">
      <c r="K168" s="4"/>
      <c r="L168" s="4"/>
    </row>
    <row r="169" spans="11:12" x14ac:dyDescent="0.3">
      <c r="K169" s="4"/>
      <c r="L169" s="4"/>
    </row>
    <row r="170" spans="11:12" x14ac:dyDescent="0.3">
      <c r="K170" s="4"/>
      <c r="L170" s="4"/>
    </row>
    <row r="171" spans="11:12" x14ac:dyDescent="0.3">
      <c r="K171" s="4"/>
      <c r="L171" s="4"/>
    </row>
    <row r="172" spans="11:12" x14ac:dyDescent="0.3">
      <c r="K172" s="4"/>
      <c r="L172" s="4"/>
    </row>
    <row r="173" spans="11:12" x14ac:dyDescent="0.3">
      <c r="K173" s="4"/>
      <c r="L173" s="4"/>
    </row>
    <row r="174" spans="11:12" x14ac:dyDescent="0.3">
      <c r="K174" s="4"/>
      <c r="L174" s="4"/>
    </row>
    <row r="175" spans="11:12" x14ac:dyDescent="0.3">
      <c r="K175" s="4"/>
      <c r="L175" s="4"/>
    </row>
    <row r="176" spans="11:12" x14ac:dyDescent="0.3">
      <c r="K176" s="4"/>
      <c r="L176" s="4"/>
    </row>
    <row r="177" spans="11:12" x14ac:dyDescent="0.3">
      <c r="K177" s="4"/>
      <c r="L177" s="4"/>
    </row>
    <row r="178" spans="11:12" x14ac:dyDescent="0.3">
      <c r="K178" s="4"/>
      <c r="L178" s="4"/>
    </row>
    <row r="179" spans="11:12" x14ac:dyDescent="0.3">
      <c r="K179" s="4"/>
      <c r="L179" s="4"/>
    </row>
    <row r="180" spans="11:12" x14ac:dyDescent="0.3">
      <c r="K180" s="4"/>
      <c r="L180" s="4"/>
    </row>
    <row r="181" spans="11:12" x14ac:dyDescent="0.3">
      <c r="K181" s="4"/>
      <c r="L181" s="4"/>
    </row>
    <row r="182" spans="11:12" x14ac:dyDescent="0.3">
      <c r="K182" s="4"/>
      <c r="L182" s="4"/>
    </row>
    <row r="183" spans="11:12" x14ac:dyDescent="0.3">
      <c r="K183" s="4"/>
      <c r="L183" s="4"/>
    </row>
    <row r="184" spans="11:12" x14ac:dyDescent="0.3">
      <c r="K184" s="4"/>
      <c r="L184" s="4"/>
    </row>
    <row r="185" spans="11:12" x14ac:dyDescent="0.3">
      <c r="K185" s="4"/>
      <c r="L185" s="4"/>
    </row>
    <row r="186" spans="11:12" x14ac:dyDescent="0.3">
      <c r="K186" s="4"/>
      <c r="L186" s="4"/>
    </row>
    <row r="187" spans="11:12" x14ac:dyDescent="0.3">
      <c r="K187" s="4"/>
      <c r="L187" s="4"/>
    </row>
    <row r="188" spans="11:12" x14ac:dyDescent="0.3">
      <c r="K188" s="4"/>
      <c r="L188" s="4"/>
    </row>
    <row r="189" spans="11:12" x14ac:dyDescent="0.3">
      <c r="K189" s="4"/>
      <c r="L189" s="4"/>
    </row>
    <row r="190" spans="11:12" x14ac:dyDescent="0.3">
      <c r="K190" s="4"/>
      <c r="L190" s="4"/>
    </row>
    <row r="191" spans="11:12" x14ac:dyDescent="0.3">
      <c r="K191" s="4"/>
      <c r="L191" s="4"/>
    </row>
    <row r="192" spans="11:12" x14ac:dyDescent="0.3">
      <c r="K192" s="4"/>
      <c r="L192" s="4"/>
    </row>
    <row r="193" spans="11:12" x14ac:dyDescent="0.3">
      <c r="K193" s="4"/>
      <c r="L193" s="4"/>
    </row>
    <row r="194" spans="11:12" x14ac:dyDescent="0.3">
      <c r="K194" s="4"/>
      <c r="L194" s="4"/>
    </row>
    <row r="195" spans="11:12" x14ac:dyDescent="0.3">
      <c r="K195" s="4"/>
      <c r="L195" s="4"/>
    </row>
    <row r="196" spans="11:12" x14ac:dyDescent="0.3">
      <c r="K196" s="4"/>
      <c r="L196" s="4"/>
    </row>
    <row r="197" spans="11:12" x14ac:dyDescent="0.3">
      <c r="K197" s="4"/>
      <c r="L197" s="4"/>
    </row>
    <row r="198" spans="11:12" x14ac:dyDescent="0.3">
      <c r="K198" s="4"/>
      <c r="L198" s="4"/>
    </row>
    <row r="199" spans="11:12" x14ac:dyDescent="0.3">
      <c r="K199" s="4"/>
      <c r="L199" s="4"/>
    </row>
    <row r="200" spans="11:12" x14ac:dyDescent="0.3">
      <c r="K200" s="4"/>
      <c r="L200" s="4"/>
    </row>
    <row r="201" spans="11:12" x14ac:dyDescent="0.3">
      <c r="K201" s="4"/>
      <c r="L201" s="4"/>
    </row>
    <row r="202" spans="11:12" x14ac:dyDescent="0.3">
      <c r="K202" s="4"/>
      <c r="L202" s="4"/>
    </row>
    <row r="203" spans="11:12" x14ac:dyDescent="0.3">
      <c r="K203" s="4"/>
      <c r="L203" s="4"/>
    </row>
    <row r="204" spans="11:12" x14ac:dyDescent="0.3">
      <c r="K204" s="4"/>
      <c r="L204" s="4"/>
    </row>
    <row r="205" spans="11:12" x14ac:dyDescent="0.3">
      <c r="K205" s="4"/>
      <c r="L205" s="4"/>
    </row>
    <row r="206" spans="11:12" x14ac:dyDescent="0.3">
      <c r="K206" s="4"/>
      <c r="L206" s="4"/>
    </row>
    <row r="207" spans="11:12" x14ac:dyDescent="0.3">
      <c r="K207" s="4"/>
      <c r="L207" s="4"/>
    </row>
    <row r="208" spans="11:12" x14ac:dyDescent="0.3">
      <c r="K208" s="4"/>
      <c r="L208" s="4"/>
    </row>
    <row r="209" spans="11:12" x14ac:dyDescent="0.3">
      <c r="K209" s="4"/>
      <c r="L209" s="4"/>
    </row>
    <row r="210" spans="11:12" x14ac:dyDescent="0.3">
      <c r="K210" s="4"/>
      <c r="L210" s="4"/>
    </row>
    <row r="211" spans="11:12" x14ac:dyDescent="0.3">
      <c r="K211" s="4"/>
      <c r="L211" s="4"/>
    </row>
    <row r="212" spans="11:12" x14ac:dyDescent="0.3">
      <c r="K212" s="4"/>
      <c r="L212" s="4"/>
    </row>
    <row r="213" spans="11:12" x14ac:dyDescent="0.3">
      <c r="K213" s="4"/>
      <c r="L213" s="4"/>
    </row>
    <row r="214" spans="11:12" x14ac:dyDescent="0.3">
      <c r="K214" s="4"/>
      <c r="L214" s="4"/>
    </row>
    <row r="215" spans="11:12" x14ac:dyDescent="0.3">
      <c r="K215" s="4"/>
      <c r="L215" s="4"/>
    </row>
    <row r="216" spans="11:12" x14ac:dyDescent="0.3">
      <c r="K216" s="4"/>
      <c r="L216" s="4"/>
    </row>
    <row r="217" spans="11:12" x14ac:dyDescent="0.3">
      <c r="K217" s="4"/>
      <c r="L217" s="4"/>
    </row>
    <row r="218" spans="11:12" x14ac:dyDescent="0.3">
      <c r="K218" s="4"/>
      <c r="L218" s="4"/>
    </row>
    <row r="219" spans="11:12" x14ac:dyDescent="0.3">
      <c r="K219" s="4"/>
      <c r="L219" s="4"/>
    </row>
    <row r="220" spans="11:12" x14ac:dyDescent="0.3">
      <c r="K220" s="4"/>
      <c r="L220" s="4"/>
    </row>
    <row r="221" spans="11:12" x14ac:dyDescent="0.3">
      <c r="K221" s="4"/>
      <c r="L221" s="4"/>
    </row>
    <row r="222" spans="11:12" x14ac:dyDescent="0.3">
      <c r="K222" s="4"/>
      <c r="L222" s="4"/>
    </row>
    <row r="223" spans="11:12" x14ac:dyDescent="0.3">
      <c r="K223" s="4"/>
      <c r="L223" s="4"/>
    </row>
    <row r="224" spans="11:12" x14ac:dyDescent="0.3">
      <c r="K224" s="4"/>
      <c r="L224" s="4"/>
    </row>
    <row r="225" spans="11:12" x14ac:dyDescent="0.3">
      <c r="K225" s="4"/>
      <c r="L225" s="4"/>
    </row>
    <row r="226" spans="11:12" x14ac:dyDescent="0.3">
      <c r="K226" s="4"/>
      <c r="L226" s="4"/>
    </row>
    <row r="227" spans="11:12" x14ac:dyDescent="0.3">
      <c r="K227" s="4"/>
      <c r="L227" s="4"/>
    </row>
    <row r="228" spans="11:12" x14ac:dyDescent="0.3">
      <c r="K228" s="4"/>
      <c r="L228" s="4"/>
    </row>
    <row r="229" spans="11:12" x14ac:dyDescent="0.3">
      <c r="K229" s="4"/>
      <c r="L229" s="4"/>
    </row>
    <row r="230" spans="11:12" x14ac:dyDescent="0.3">
      <c r="K230" s="4"/>
      <c r="L230" s="4"/>
    </row>
    <row r="231" spans="11:12" x14ac:dyDescent="0.3">
      <c r="K231" s="4"/>
      <c r="L231" s="4"/>
    </row>
    <row r="232" spans="11:12" x14ac:dyDescent="0.3">
      <c r="K232" s="4"/>
      <c r="L232" s="4"/>
    </row>
    <row r="233" spans="11:12" x14ac:dyDescent="0.3">
      <c r="K233" s="4"/>
      <c r="L233" s="4"/>
    </row>
    <row r="234" spans="11:12" x14ac:dyDescent="0.3">
      <c r="K234" s="4"/>
      <c r="L234" s="4"/>
    </row>
    <row r="235" spans="11:12" x14ac:dyDescent="0.3">
      <c r="K235" s="4"/>
      <c r="L235" s="4"/>
    </row>
    <row r="236" spans="11:12" x14ac:dyDescent="0.3">
      <c r="K236" s="4"/>
      <c r="L236" s="4"/>
    </row>
    <row r="237" spans="11:12" x14ac:dyDescent="0.3">
      <c r="K237" s="4"/>
      <c r="L237" s="4"/>
    </row>
    <row r="238" spans="11:12" x14ac:dyDescent="0.3">
      <c r="K238" s="4"/>
      <c r="L238" s="4"/>
    </row>
    <row r="239" spans="11:12" x14ac:dyDescent="0.3">
      <c r="K239" s="4"/>
      <c r="L239" s="4"/>
    </row>
    <row r="240" spans="11:12" x14ac:dyDescent="0.3">
      <c r="K240" s="4"/>
      <c r="L240" s="4"/>
    </row>
    <row r="241" spans="11:12" x14ac:dyDescent="0.3">
      <c r="K241" s="4"/>
      <c r="L241" s="4"/>
    </row>
    <row r="242" spans="11:12" x14ac:dyDescent="0.3">
      <c r="K242" s="4"/>
      <c r="L242" s="4"/>
    </row>
    <row r="243" spans="11:12" x14ac:dyDescent="0.3">
      <c r="K243" s="4"/>
      <c r="L243" s="4"/>
    </row>
    <row r="244" spans="11:12" x14ac:dyDescent="0.3">
      <c r="K244" s="4"/>
      <c r="L244" s="4"/>
    </row>
    <row r="245" spans="11:12" x14ac:dyDescent="0.3">
      <c r="K245" s="4"/>
      <c r="L245" s="4"/>
    </row>
    <row r="246" spans="11:12" x14ac:dyDescent="0.3">
      <c r="K246" s="4"/>
      <c r="L246" s="4"/>
    </row>
    <row r="247" spans="11:12" x14ac:dyDescent="0.3">
      <c r="K247" s="4"/>
      <c r="L247" s="4"/>
    </row>
    <row r="248" spans="11:12" x14ac:dyDescent="0.3">
      <c r="K248" s="4"/>
      <c r="L248" s="4"/>
    </row>
    <row r="249" spans="11:12" x14ac:dyDescent="0.3">
      <c r="K249" s="4"/>
      <c r="L249" s="4"/>
    </row>
    <row r="250" spans="11:12" x14ac:dyDescent="0.3">
      <c r="K250" s="4"/>
      <c r="L250" s="4"/>
    </row>
    <row r="251" spans="11:12" x14ac:dyDescent="0.3">
      <c r="K251" s="4"/>
      <c r="L251" s="4"/>
    </row>
    <row r="252" spans="11:12" x14ac:dyDescent="0.3">
      <c r="K252" s="4"/>
      <c r="L252" s="4"/>
    </row>
    <row r="253" spans="11:12" x14ac:dyDescent="0.3">
      <c r="K253" s="4"/>
      <c r="L253" s="4"/>
    </row>
    <row r="254" spans="11:12" x14ac:dyDescent="0.3">
      <c r="K254" s="4"/>
      <c r="L254" s="4"/>
    </row>
    <row r="255" spans="11:12" x14ac:dyDescent="0.3">
      <c r="K255" s="4"/>
      <c r="L255" s="4"/>
    </row>
    <row r="256" spans="11:12" x14ac:dyDescent="0.3">
      <c r="K256" s="4"/>
      <c r="L256" s="4"/>
    </row>
    <row r="257" spans="11:12" x14ac:dyDescent="0.3">
      <c r="K257" s="4"/>
      <c r="L257" s="4"/>
    </row>
    <row r="258" spans="11:12" x14ac:dyDescent="0.3">
      <c r="K258" s="4"/>
      <c r="L258" s="4"/>
    </row>
    <row r="259" spans="11:12" x14ac:dyDescent="0.3">
      <c r="K259" s="4"/>
      <c r="L259" s="4"/>
    </row>
    <row r="260" spans="11:12" x14ac:dyDescent="0.3">
      <c r="K260" s="4"/>
      <c r="L260" s="4"/>
    </row>
    <row r="261" spans="11:12" x14ac:dyDescent="0.3">
      <c r="K261" s="4"/>
      <c r="L261" s="4"/>
    </row>
    <row r="262" spans="11:12" x14ac:dyDescent="0.3">
      <c r="K262" s="4"/>
      <c r="L262" s="4"/>
    </row>
    <row r="263" spans="11:12" x14ac:dyDescent="0.3">
      <c r="K263" s="4"/>
      <c r="L263" s="4"/>
    </row>
    <row r="264" spans="11:12" x14ac:dyDescent="0.3">
      <c r="K264" s="4"/>
      <c r="L264" s="4"/>
    </row>
    <row r="265" spans="11:12" x14ac:dyDescent="0.3">
      <c r="K265" s="4"/>
      <c r="L265" s="4"/>
    </row>
    <row r="266" spans="11:12" x14ac:dyDescent="0.3">
      <c r="K266" s="4"/>
      <c r="L266" s="4"/>
    </row>
    <row r="267" spans="11:12" x14ac:dyDescent="0.3">
      <c r="K267" s="4"/>
      <c r="L267" s="4"/>
    </row>
    <row r="268" spans="11:12" x14ac:dyDescent="0.3">
      <c r="K268" s="4"/>
      <c r="L268" s="4"/>
    </row>
    <row r="269" spans="11:12" x14ac:dyDescent="0.3">
      <c r="K269" s="4"/>
      <c r="L269" s="4"/>
    </row>
    <row r="270" spans="11:12" x14ac:dyDescent="0.3">
      <c r="K270" s="4"/>
      <c r="L270" s="4"/>
    </row>
    <row r="271" spans="11:12" x14ac:dyDescent="0.3">
      <c r="K271" s="4"/>
      <c r="L271" s="4"/>
    </row>
    <row r="272" spans="11:12" x14ac:dyDescent="0.3">
      <c r="K272" s="4"/>
      <c r="L272" s="4"/>
    </row>
    <row r="273" spans="11:12" x14ac:dyDescent="0.3">
      <c r="K273" s="4"/>
      <c r="L273" s="4"/>
    </row>
    <row r="274" spans="11:12" x14ac:dyDescent="0.3">
      <c r="K274" s="4"/>
      <c r="L274" s="4"/>
    </row>
    <row r="275" spans="11:12" x14ac:dyDescent="0.3">
      <c r="K275" s="4"/>
      <c r="L275" s="4"/>
    </row>
    <row r="276" spans="11:12" x14ac:dyDescent="0.3">
      <c r="K276" s="4"/>
      <c r="L276" s="4"/>
    </row>
    <row r="277" spans="11:12" x14ac:dyDescent="0.3">
      <c r="K277" s="4"/>
      <c r="L277" s="4"/>
    </row>
    <row r="278" spans="11:12" x14ac:dyDescent="0.3">
      <c r="K278" s="4"/>
      <c r="L278" s="4"/>
    </row>
    <row r="279" spans="11:12" x14ac:dyDescent="0.3">
      <c r="K279" s="4"/>
      <c r="L279" s="4"/>
    </row>
    <row r="280" spans="11:12" x14ac:dyDescent="0.3">
      <c r="K280" s="4"/>
      <c r="L280" s="4"/>
    </row>
    <row r="281" spans="11:12" x14ac:dyDescent="0.3">
      <c r="K281" s="4"/>
      <c r="L281" s="4"/>
    </row>
    <row r="282" spans="11:12" x14ac:dyDescent="0.3">
      <c r="K282" s="4"/>
      <c r="L282" s="4"/>
    </row>
    <row r="283" spans="11:12" x14ac:dyDescent="0.3">
      <c r="K283" s="4"/>
      <c r="L283" s="4"/>
    </row>
    <row r="284" spans="11:12" x14ac:dyDescent="0.3">
      <c r="K284" s="4"/>
      <c r="L284" s="4"/>
    </row>
    <row r="285" spans="11:12" x14ac:dyDescent="0.3">
      <c r="K285" s="4"/>
      <c r="L285" s="4"/>
    </row>
    <row r="286" spans="11:12" x14ac:dyDescent="0.3">
      <c r="K286" s="4"/>
      <c r="L286" s="4"/>
    </row>
    <row r="287" spans="11:12" x14ac:dyDescent="0.3">
      <c r="K287" s="4"/>
      <c r="L287" s="4"/>
    </row>
    <row r="288" spans="11:12" x14ac:dyDescent="0.3">
      <c r="K288" s="4"/>
      <c r="L288" s="4"/>
    </row>
    <row r="289" spans="11:12" x14ac:dyDescent="0.3">
      <c r="K289" s="4"/>
      <c r="L289" s="4"/>
    </row>
    <row r="290" spans="11:12" x14ac:dyDescent="0.3">
      <c r="K290" s="4"/>
      <c r="L290" s="4"/>
    </row>
    <row r="291" spans="11:12" x14ac:dyDescent="0.3">
      <c r="K291" s="4"/>
      <c r="L291" s="4"/>
    </row>
    <row r="292" spans="11:12" x14ac:dyDescent="0.3">
      <c r="K292" s="4"/>
      <c r="L292" s="4"/>
    </row>
    <row r="293" spans="11:12" x14ac:dyDescent="0.3">
      <c r="K293" s="4"/>
      <c r="L293" s="4"/>
    </row>
    <row r="294" spans="11:12" x14ac:dyDescent="0.3">
      <c r="K294" s="4"/>
      <c r="L294" s="4"/>
    </row>
    <row r="295" spans="11:12" x14ac:dyDescent="0.3">
      <c r="K295" s="4"/>
      <c r="L295" s="4"/>
    </row>
    <row r="296" spans="11:12" x14ac:dyDescent="0.3">
      <c r="K296" s="4"/>
      <c r="L296" s="4"/>
    </row>
    <row r="297" spans="11:12" x14ac:dyDescent="0.3">
      <c r="K297" s="4"/>
      <c r="L297" s="4"/>
    </row>
    <row r="298" spans="11:12" x14ac:dyDescent="0.3">
      <c r="K298" s="4"/>
      <c r="L298" s="4"/>
    </row>
    <row r="299" spans="11:12" x14ac:dyDescent="0.3">
      <c r="K299" s="4"/>
      <c r="L299" s="4"/>
    </row>
    <row r="300" spans="11:12" x14ac:dyDescent="0.3">
      <c r="K300" s="4"/>
      <c r="L300" s="4"/>
    </row>
    <row r="301" spans="11:12" x14ac:dyDescent="0.3">
      <c r="K301" s="4"/>
      <c r="L301" s="4"/>
    </row>
    <row r="302" spans="11:12" x14ac:dyDescent="0.3">
      <c r="K302" s="4"/>
      <c r="L302" s="4"/>
    </row>
    <row r="303" spans="11:12" x14ac:dyDescent="0.3">
      <c r="K303" s="4"/>
      <c r="L303" s="4"/>
    </row>
    <row r="304" spans="11:12" x14ac:dyDescent="0.3">
      <c r="K304" s="4"/>
      <c r="L304" s="4"/>
    </row>
    <row r="305" spans="11:12" x14ac:dyDescent="0.3">
      <c r="K305" s="4"/>
      <c r="L305" s="4"/>
    </row>
    <row r="306" spans="11:12" x14ac:dyDescent="0.3">
      <c r="K306" s="4"/>
      <c r="L306" s="4"/>
    </row>
    <row r="307" spans="11:12" x14ac:dyDescent="0.3">
      <c r="K307" s="4"/>
      <c r="L307" s="4"/>
    </row>
    <row r="308" spans="11:12" x14ac:dyDescent="0.3">
      <c r="K308" s="4"/>
      <c r="L308" s="4"/>
    </row>
    <row r="309" spans="11:12" x14ac:dyDescent="0.3">
      <c r="K309" s="4"/>
      <c r="L309" s="4"/>
    </row>
    <row r="310" spans="11:12" x14ac:dyDescent="0.3">
      <c r="K310" s="4"/>
      <c r="L310" s="4"/>
    </row>
    <row r="311" spans="11:12" x14ac:dyDescent="0.3">
      <c r="K311" s="4"/>
      <c r="L311" s="4"/>
    </row>
    <row r="312" spans="11:12" x14ac:dyDescent="0.3">
      <c r="K312" s="4"/>
      <c r="L312" s="4"/>
    </row>
    <row r="313" spans="11:12" x14ac:dyDescent="0.3">
      <c r="K313" s="4"/>
      <c r="L313" s="4"/>
    </row>
    <row r="314" spans="11:12" x14ac:dyDescent="0.3">
      <c r="K314" s="4"/>
      <c r="L314" s="4"/>
    </row>
    <row r="315" spans="11:12" x14ac:dyDescent="0.3">
      <c r="K315" s="4"/>
      <c r="L315" s="4"/>
    </row>
    <row r="316" spans="11:12" x14ac:dyDescent="0.3">
      <c r="K316" s="4"/>
      <c r="L316" s="4"/>
    </row>
    <row r="317" spans="11:12" x14ac:dyDescent="0.3">
      <c r="K317" s="4"/>
      <c r="L317" s="4"/>
    </row>
    <row r="318" spans="11:12" x14ac:dyDescent="0.3">
      <c r="K318" s="4"/>
      <c r="L318" s="4"/>
    </row>
    <row r="319" spans="11:12" x14ac:dyDescent="0.3">
      <c r="K319" s="4"/>
      <c r="L319" s="4"/>
    </row>
    <row r="320" spans="11:12" x14ac:dyDescent="0.3">
      <c r="K320" s="4"/>
      <c r="L320" s="4"/>
    </row>
    <row r="321" spans="11:12" x14ac:dyDescent="0.3">
      <c r="K321" s="4"/>
      <c r="L321" s="4"/>
    </row>
    <row r="322" spans="11:12" x14ac:dyDescent="0.3">
      <c r="K322" s="4"/>
      <c r="L322" s="4"/>
    </row>
    <row r="323" spans="11:12" x14ac:dyDescent="0.3">
      <c r="K323" s="4"/>
      <c r="L323" s="4"/>
    </row>
    <row r="324" spans="11:12" x14ac:dyDescent="0.3">
      <c r="K324" s="4"/>
      <c r="L324" s="4"/>
    </row>
    <row r="325" spans="11:12" x14ac:dyDescent="0.3">
      <c r="K325" s="4"/>
      <c r="L325" s="4"/>
    </row>
    <row r="326" spans="11:12" x14ac:dyDescent="0.3">
      <c r="K326" s="4"/>
      <c r="L326" s="4"/>
    </row>
    <row r="327" spans="11:12" x14ac:dyDescent="0.3">
      <c r="K327" s="4"/>
      <c r="L327" s="4"/>
    </row>
    <row r="328" spans="11:12" x14ac:dyDescent="0.3">
      <c r="K328" s="4"/>
      <c r="L328" s="4"/>
    </row>
    <row r="329" spans="11:12" x14ac:dyDescent="0.3">
      <c r="K329" s="4"/>
      <c r="L329" s="4"/>
    </row>
    <row r="330" spans="11:12" x14ac:dyDescent="0.3">
      <c r="K330" s="4"/>
      <c r="L330" s="4"/>
    </row>
    <row r="331" spans="11:12" x14ac:dyDescent="0.3">
      <c r="K331" s="4"/>
      <c r="L331" s="4"/>
    </row>
    <row r="332" spans="11:12" x14ac:dyDescent="0.3">
      <c r="K332" s="4"/>
      <c r="L332" s="4"/>
    </row>
    <row r="333" spans="11:12" x14ac:dyDescent="0.3">
      <c r="K333" s="4"/>
      <c r="L333" s="4"/>
    </row>
    <row r="334" spans="11:12" x14ac:dyDescent="0.3">
      <c r="K334" s="4"/>
      <c r="L334" s="4"/>
    </row>
    <row r="335" spans="11:12" x14ac:dyDescent="0.3">
      <c r="K335" s="4"/>
      <c r="L335" s="4"/>
    </row>
    <row r="336" spans="11:12" x14ac:dyDescent="0.3">
      <c r="K336" s="4"/>
      <c r="L336" s="4"/>
    </row>
    <row r="337" spans="11:12" x14ac:dyDescent="0.3">
      <c r="K337" s="4"/>
      <c r="L337" s="4"/>
    </row>
    <row r="338" spans="11:12" x14ac:dyDescent="0.3">
      <c r="K338" s="4"/>
      <c r="L338" s="4"/>
    </row>
    <row r="339" spans="11:12" x14ac:dyDescent="0.3">
      <c r="K339" s="4"/>
      <c r="L339" s="4"/>
    </row>
    <row r="340" spans="11:12" x14ac:dyDescent="0.3">
      <c r="K340" s="4"/>
      <c r="L340" s="4"/>
    </row>
    <row r="341" spans="11:12" x14ac:dyDescent="0.3">
      <c r="K341" s="4"/>
      <c r="L341" s="4"/>
    </row>
    <row r="342" spans="11:12" x14ac:dyDescent="0.3">
      <c r="K342" s="4"/>
      <c r="L342" s="4"/>
    </row>
    <row r="343" spans="11:12" x14ac:dyDescent="0.3">
      <c r="K343" s="4"/>
      <c r="L343" s="4"/>
    </row>
    <row r="344" spans="11:12" x14ac:dyDescent="0.3">
      <c r="K344" s="4"/>
      <c r="L344" s="4"/>
    </row>
    <row r="345" spans="11:12" x14ac:dyDescent="0.3">
      <c r="K345" s="4"/>
      <c r="L345" s="4"/>
    </row>
    <row r="346" spans="11:12" x14ac:dyDescent="0.3">
      <c r="K346" s="4"/>
      <c r="L346" s="4"/>
    </row>
    <row r="347" spans="11:12" x14ac:dyDescent="0.3">
      <c r="K347" s="4"/>
      <c r="L347" s="4"/>
    </row>
    <row r="348" spans="11:12" x14ac:dyDescent="0.3">
      <c r="K348" s="4"/>
      <c r="L348" s="4"/>
    </row>
    <row r="349" spans="11:12" x14ac:dyDescent="0.3">
      <c r="K349" s="4"/>
      <c r="L349" s="4"/>
    </row>
    <row r="350" spans="11:12" x14ac:dyDescent="0.3">
      <c r="K350" s="4"/>
      <c r="L350" s="4"/>
    </row>
    <row r="351" spans="11:12" x14ac:dyDescent="0.3">
      <c r="K351" s="4"/>
      <c r="L351" s="4"/>
    </row>
    <row r="352" spans="11:12" x14ac:dyDescent="0.3">
      <c r="K352" s="4"/>
      <c r="L352" s="4"/>
    </row>
    <row r="353" spans="11:12" x14ac:dyDescent="0.3">
      <c r="K353" s="4"/>
      <c r="L353" s="4"/>
    </row>
    <row r="354" spans="11:12" x14ac:dyDescent="0.3">
      <c r="K354" s="4"/>
      <c r="L354" s="4"/>
    </row>
    <row r="355" spans="11:12" x14ac:dyDescent="0.3">
      <c r="K355" s="4"/>
      <c r="L355" s="4"/>
    </row>
    <row r="356" spans="11:12" x14ac:dyDescent="0.3">
      <c r="K356" s="4"/>
      <c r="L356" s="4"/>
    </row>
    <row r="357" spans="11:12" x14ac:dyDescent="0.3">
      <c r="K357" s="4"/>
      <c r="L357" s="4"/>
    </row>
    <row r="358" spans="11:12" x14ac:dyDescent="0.3">
      <c r="K358" s="4"/>
      <c r="L358" s="4"/>
    </row>
    <row r="359" spans="11:12" x14ac:dyDescent="0.3">
      <c r="K359" s="4"/>
      <c r="L359" s="4"/>
    </row>
    <row r="360" spans="11:12" x14ac:dyDescent="0.3">
      <c r="K360" s="4"/>
      <c r="L360" s="4"/>
    </row>
    <row r="361" spans="11:12" x14ac:dyDescent="0.3">
      <c r="K361" s="4"/>
      <c r="L361" s="4"/>
    </row>
    <row r="362" spans="11:12" x14ac:dyDescent="0.3">
      <c r="K362" s="4"/>
      <c r="L362" s="4"/>
    </row>
    <row r="363" spans="11:12" x14ac:dyDescent="0.3">
      <c r="K363" s="4"/>
      <c r="L363" s="4"/>
    </row>
    <row r="364" spans="11:12" x14ac:dyDescent="0.3">
      <c r="K364" s="4"/>
      <c r="L364" s="4"/>
    </row>
    <row r="365" spans="11:12" x14ac:dyDescent="0.3">
      <c r="K365" s="4"/>
      <c r="L365" s="4"/>
    </row>
    <row r="366" spans="11:12" x14ac:dyDescent="0.3">
      <c r="K366" s="4"/>
      <c r="L366" s="4"/>
    </row>
    <row r="367" spans="11:12" x14ac:dyDescent="0.3">
      <c r="K367" s="4"/>
      <c r="L367" s="4"/>
    </row>
    <row r="368" spans="11:12" x14ac:dyDescent="0.3">
      <c r="K368" s="4"/>
      <c r="L368" s="4"/>
    </row>
    <row r="369" spans="11:12" x14ac:dyDescent="0.3">
      <c r="K369" s="4"/>
      <c r="L369" s="4"/>
    </row>
    <row r="370" spans="11:12" x14ac:dyDescent="0.3">
      <c r="K370" s="4"/>
      <c r="L370" s="4"/>
    </row>
    <row r="371" spans="11:12" x14ac:dyDescent="0.3">
      <c r="K371" s="4"/>
      <c r="L371" s="4"/>
    </row>
    <row r="372" spans="11:12" x14ac:dyDescent="0.3">
      <c r="K372" s="4"/>
      <c r="L372" s="4"/>
    </row>
    <row r="373" spans="11:12" x14ac:dyDescent="0.3">
      <c r="K373" s="4"/>
      <c r="L373" s="4"/>
    </row>
    <row r="374" spans="11:12" x14ac:dyDescent="0.3">
      <c r="K374" s="4"/>
      <c r="L374" s="4"/>
    </row>
    <row r="375" spans="11:12" x14ac:dyDescent="0.3">
      <c r="K375" s="4"/>
      <c r="L375" s="4"/>
    </row>
    <row r="376" spans="11:12" x14ac:dyDescent="0.3">
      <c r="K376" s="4"/>
      <c r="L376" s="4"/>
    </row>
    <row r="377" spans="11:12" x14ac:dyDescent="0.3">
      <c r="K377" s="4"/>
      <c r="L377" s="4"/>
    </row>
    <row r="378" spans="11:12" x14ac:dyDescent="0.3">
      <c r="K378" s="4"/>
      <c r="L378" s="4"/>
    </row>
    <row r="379" spans="11:12" x14ac:dyDescent="0.3">
      <c r="K379" s="4"/>
      <c r="L379" s="4"/>
    </row>
    <row r="380" spans="11:12" x14ac:dyDescent="0.3">
      <c r="K380" s="4"/>
      <c r="L380" s="4"/>
    </row>
    <row r="381" spans="11:12" x14ac:dyDescent="0.3">
      <c r="K381" s="4"/>
      <c r="L381" s="4"/>
    </row>
    <row r="382" spans="11:12" x14ac:dyDescent="0.3">
      <c r="K382" s="4"/>
      <c r="L382" s="4"/>
    </row>
    <row r="383" spans="11:12" x14ac:dyDescent="0.3">
      <c r="K383" s="4"/>
      <c r="L383" s="4"/>
    </row>
    <row r="384" spans="11:12" x14ac:dyDescent="0.3">
      <c r="K384" s="4"/>
      <c r="L384" s="4"/>
    </row>
    <row r="385" spans="11:12" x14ac:dyDescent="0.3">
      <c r="K385" s="4"/>
      <c r="L385" s="4"/>
    </row>
    <row r="386" spans="11:12" x14ac:dyDescent="0.3">
      <c r="K386" s="4"/>
      <c r="L386" s="4"/>
    </row>
    <row r="387" spans="11:12" x14ac:dyDescent="0.3">
      <c r="K387" s="4"/>
      <c r="L387" s="4"/>
    </row>
    <row r="388" spans="11:12" x14ac:dyDescent="0.3">
      <c r="K388" s="4"/>
      <c r="L388" s="4"/>
    </row>
    <row r="389" spans="11:12" x14ac:dyDescent="0.3">
      <c r="K389" s="4"/>
      <c r="L389" s="4"/>
    </row>
    <row r="390" spans="11:12" x14ac:dyDescent="0.3">
      <c r="K390" s="4"/>
      <c r="L390" s="4"/>
    </row>
    <row r="391" spans="11:12" x14ac:dyDescent="0.3">
      <c r="K391" s="4"/>
      <c r="L391" s="4"/>
    </row>
    <row r="392" spans="11:12" x14ac:dyDescent="0.3">
      <c r="K392" s="4"/>
      <c r="L392" s="4"/>
    </row>
    <row r="393" spans="11:12" x14ac:dyDescent="0.3">
      <c r="K393" s="4"/>
      <c r="L393" s="4"/>
    </row>
    <row r="394" spans="11:12" x14ac:dyDescent="0.3">
      <c r="K394" s="4"/>
      <c r="L394" s="4"/>
    </row>
    <row r="395" spans="11:12" x14ac:dyDescent="0.3">
      <c r="K395" s="4"/>
      <c r="L395" s="4"/>
    </row>
    <row r="396" spans="11:12" x14ac:dyDescent="0.3">
      <c r="K396" s="4"/>
      <c r="L396" s="4"/>
    </row>
    <row r="397" spans="11:12" x14ac:dyDescent="0.3">
      <c r="K397" s="4"/>
      <c r="L397" s="4"/>
    </row>
    <row r="398" spans="11:12" x14ac:dyDescent="0.3">
      <c r="K398" s="4"/>
      <c r="L398" s="4"/>
    </row>
    <row r="399" spans="11:12" x14ac:dyDescent="0.3">
      <c r="K399" s="4"/>
      <c r="L399" s="4"/>
    </row>
    <row r="400" spans="11:12" x14ac:dyDescent="0.3">
      <c r="K400" s="4"/>
      <c r="L400" s="4"/>
    </row>
    <row r="401" spans="11:12" x14ac:dyDescent="0.3">
      <c r="K401" s="4"/>
      <c r="L401" s="4"/>
    </row>
    <row r="402" spans="11:12" x14ac:dyDescent="0.3">
      <c r="K402" s="4"/>
      <c r="L402" s="4"/>
    </row>
    <row r="403" spans="11:12" x14ac:dyDescent="0.3">
      <c r="K403" s="4"/>
      <c r="L403" s="4"/>
    </row>
    <row r="404" spans="11:12" x14ac:dyDescent="0.3">
      <c r="K404" s="4"/>
      <c r="L404" s="4"/>
    </row>
    <row r="405" spans="11:12" x14ac:dyDescent="0.3">
      <c r="K405" s="4"/>
      <c r="L405" s="4"/>
    </row>
    <row r="406" spans="11:12" x14ac:dyDescent="0.3">
      <c r="K406" s="4"/>
      <c r="L406" s="4"/>
    </row>
    <row r="407" spans="11:12" x14ac:dyDescent="0.3">
      <c r="K407" s="4"/>
      <c r="L407" s="4"/>
    </row>
    <row r="408" spans="11:12" x14ac:dyDescent="0.3">
      <c r="K408" s="4"/>
      <c r="L408" s="4"/>
    </row>
    <row r="409" spans="11:12" x14ac:dyDescent="0.3">
      <c r="K409" s="4"/>
      <c r="L409" s="4"/>
    </row>
    <row r="410" spans="11:12" x14ac:dyDescent="0.3">
      <c r="K410" s="4"/>
      <c r="L410" s="4"/>
    </row>
    <row r="411" spans="11:12" x14ac:dyDescent="0.3">
      <c r="K411" s="4"/>
      <c r="L411" s="4"/>
    </row>
    <row r="412" spans="11:12" x14ac:dyDescent="0.3">
      <c r="K412" s="4"/>
      <c r="L412" s="4"/>
    </row>
    <row r="413" spans="11:12" x14ac:dyDescent="0.3">
      <c r="K413" s="4"/>
      <c r="L413" s="4"/>
    </row>
    <row r="414" spans="11:12" x14ac:dyDescent="0.3">
      <c r="K414" s="4"/>
      <c r="L414" s="4"/>
    </row>
    <row r="415" spans="11:12" x14ac:dyDescent="0.3">
      <c r="K415" s="4"/>
      <c r="L415" s="4"/>
    </row>
    <row r="416" spans="11:12" x14ac:dyDescent="0.3">
      <c r="K416" s="4"/>
      <c r="L416" s="4"/>
    </row>
    <row r="417" spans="11:12" x14ac:dyDescent="0.3">
      <c r="K417" s="4"/>
      <c r="L417" s="4"/>
    </row>
    <row r="418" spans="11:12" x14ac:dyDescent="0.3">
      <c r="K418" s="4"/>
      <c r="L418" s="4"/>
    </row>
    <row r="419" spans="11:12" x14ac:dyDescent="0.3">
      <c r="K419" s="4"/>
      <c r="L419" s="4"/>
    </row>
    <row r="420" spans="11:12" x14ac:dyDescent="0.3">
      <c r="K420" s="4"/>
      <c r="L420" s="4"/>
    </row>
    <row r="421" spans="11:12" x14ac:dyDescent="0.3">
      <c r="K421" s="4"/>
      <c r="L421" s="4"/>
    </row>
    <row r="422" spans="11:12" x14ac:dyDescent="0.3">
      <c r="K422" s="4"/>
      <c r="L422" s="4"/>
    </row>
    <row r="423" spans="11:12" x14ac:dyDescent="0.3">
      <c r="K423" s="4"/>
      <c r="L423" s="4"/>
    </row>
    <row r="424" spans="11:12" x14ac:dyDescent="0.3">
      <c r="K424" s="4"/>
      <c r="L424" s="4"/>
    </row>
    <row r="425" spans="11:12" x14ac:dyDescent="0.3">
      <c r="K425" s="4"/>
      <c r="L425" s="4"/>
    </row>
    <row r="426" spans="11:12" x14ac:dyDescent="0.3">
      <c r="K426" s="4"/>
      <c r="L426" s="4"/>
    </row>
    <row r="427" spans="11:12" x14ac:dyDescent="0.3">
      <c r="K427" s="4"/>
      <c r="L427" s="4"/>
    </row>
    <row r="428" spans="11:12" x14ac:dyDescent="0.3">
      <c r="K428" s="4"/>
      <c r="L428" s="4"/>
    </row>
    <row r="429" spans="11:12" x14ac:dyDescent="0.3">
      <c r="K429" s="4"/>
      <c r="L429" s="4"/>
    </row>
    <row r="430" spans="11:12" x14ac:dyDescent="0.3">
      <c r="K430" s="4"/>
      <c r="L430" s="4"/>
    </row>
    <row r="431" spans="11:12" x14ac:dyDescent="0.3">
      <c r="K431" s="4"/>
      <c r="L431" s="4"/>
    </row>
    <row r="432" spans="11:12" x14ac:dyDescent="0.3">
      <c r="K432" s="4"/>
      <c r="L432" s="4"/>
    </row>
    <row r="433" spans="11:12" x14ac:dyDescent="0.3">
      <c r="K433" s="4"/>
      <c r="L433" s="4"/>
    </row>
    <row r="434" spans="11:12" x14ac:dyDescent="0.3">
      <c r="K434" s="4"/>
      <c r="L434" s="4"/>
    </row>
    <row r="435" spans="11:12" x14ac:dyDescent="0.3">
      <c r="K435" s="4"/>
      <c r="L435" s="4"/>
    </row>
    <row r="436" spans="11:12" x14ac:dyDescent="0.3">
      <c r="K436" s="4"/>
      <c r="L436" s="4"/>
    </row>
    <row r="437" spans="11:12" x14ac:dyDescent="0.3">
      <c r="K437" s="4"/>
      <c r="L437" s="4"/>
    </row>
    <row r="438" spans="11:12" x14ac:dyDescent="0.3">
      <c r="K438" s="4"/>
      <c r="L438" s="4"/>
    </row>
    <row r="439" spans="11:12" x14ac:dyDescent="0.3">
      <c r="K439" s="4"/>
      <c r="L439" s="4"/>
    </row>
    <row r="440" spans="11:12" x14ac:dyDescent="0.3">
      <c r="K440" s="4"/>
      <c r="L440" s="4"/>
    </row>
    <row r="441" spans="11:12" x14ac:dyDescent="0.3">
      <c r="K441" s="4"/>
      <c r="L441" s="4"/>
    </row>
    <row r="442" spans="11:12" x14ac:dyDescent="0.3">
      <c r="K442" s="4"/>
      <c r="L442" s="4"/>
    </row>
    <row r="443" spans="11:12" x14ac:dyDescent="0.3">
      <c r="K443" s="4"/>
      <c r="L443" s="4"/>
    </row>
    <row r="444" spans="11:12" x14ac:dyDescent="0.3">
      <c r="K444" s="4"/>
      <c r="L444" s="4"/>
    </row>
    <row r="445" spans="11:12" x14ac:dyDescent="0.3">
      <c r="K445" s="4"/>
      <c r="L445" s="4"/>
    </row>
    <row r="446" spans="11:12" x14ac:dyDescent="0.3">
      <c r="K446" s="4"/>
      <c r="L446" s="4"/>
    </row>
    <row r="447" spans="11:12" x14ac:dyDescent="0.3">
      <c r="K447" s="4"/>
      <c r="L447" s="4"/>
    </row>
    <row r="448" spans="11:12" x14ac:dyDescent="0.3">
      <c r="K448" s="4"/>
      <c r="L448" s="4"/>
    </row>
    <row r="449" spans="11:12" x14ac:dyDescent="0.3">
      <c r="K449" s="4"/>
      <c r="L449" s="4"/>
    </row>
    <row r="450" spans="11:12" x14ac:dyDescent="0.3">
      <c r="K450" s="4"/>
      <c r="L450" s="4"/>
    </row>
    <row r="451" spans="11:12" x14ac:dyDescent="0.3">
      <c r="K451" s="4"/>
      <c r="L451" s="4"/>
    </row>
    <row r="452" spans="11:12" x14ac:dyDescent="0.3">
      <c r="K452" s="4"/>
      <c r="L452" s="4"/>
    </row>
    <row r="453" spans="11:12" x14ac:dyDescent="0.3">
      <c r="K453" s="4"/>
      <c r="L453" s="4"/>
    </row>
    <row r="454" spans="11:12" x14ac:dyDescent="0.3">
      <c r="K454" s="4"/>
      <c r="L454" s="4"/>
    </row>
    <row r="455" spans="11:12" x14ac:dyDescent="0.3">
      <c r="K455" s="4"/>
      <c r="L455" s="4"/>
    </row>
    <row r="456" spans="11:12" x14ac:dyDescent="0.3">
      <c r="K456" s="4"/>
      <c r="L456" s="4"/>
    </row>
    <row r="457" spans="11:12" x14ac:dyDescent="0.3">
      <c r="K457" s="4"/>
      <c r="L457" s="4"/>
    </row>
    <row r="458" spans="11:12" x14ac:dyDescent="0.3">
      <c r="K458" s="4"/>
      <c r="L458" s="4"/>
    </row>
    <row r="459" spans="11:12" x14ac:dyDescent="0.3">
      <c r="K459" s="4"/>
      <c r="L459" s="4"/>
    </row>
    <row r="460" spans="11:12" x14ac:dyDescent="0.3">
      <c r="K460" s="4"/>
      <c r="L460" s="4"/>
    </row>
    <row r="461" spans="11:12" x14ac:dyDescent="0.3">
      <c r="K461" s="4"/>
      <c r="L461" s="4"/>
    </row>
    <row r="462" spans="11:12" x14ac:dyDescent="0.3">
      <c r="K462" s="4"/>
      <c r="L462" s="4"/>
    </row>
    <row r="463" spans="11:12" x14ac:dyDescent="0.3">
      <c r="K463" s="4"/>
      <c r="L463" s="4"/>
    </row>
    <row r="464" spans="11:12" x14ac:dyDescent="0.3">
      <c r="K464" s="4"/>
      <c r="L464" s="4"/>
    </row>
    <row r="465" spans="11:12" x14ac:dyDescent="0.3">
      <c r="K465" s="4"/>
      <c r="L465" s="4"/>
    </row>
    <row r="466" spans="11:12" x14ac:dyDescent="0.3">
      <c r="K466" s="4"/>
      <c r="L466" s="4"/>
    </row>
    <row r="467" spans="11:12" x14ac:dyDescent="0.3">
      <c r="K467" s="4"/>
      <c r="L467" s="4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Sebastian-Wendel</dc:creator>
  <cp:lastModifiedBy>Sebastian-Wendel</cp:lastModifiedBy>
  <dcterms:created xsi:type="dcterms:W3CDTF">2025-11-01T17:32:49Z</dcterms:created>
  <dcterms:modified xsi:type="dcterms:W3CDTF">2025-11-02T20:38:06Z</dcterms:modified>
</cp:coreProperties>
</file>